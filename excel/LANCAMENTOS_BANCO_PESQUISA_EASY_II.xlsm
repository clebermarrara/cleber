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I:\000 - CONTROLES\01 - CONTABIL\PADRAO CONTABIL\"/>
    </mc:Choice>
  </mc:AlternateContent>
  <bookViews>
    <workbookView xWindow="0" yWindow="240" windowWidth="15360" windowHeight="7365"/>
  </bookViews>
  <sheets>
    <sheet name="BANCO" sheetId="11" r:id="rId1"/>
    <sheet name="Base" sheetId="14" state="hidden" r:id="rId2"/>
    <sheet name="Importa" sheetId="15" state="hidden" r:id="rId3"/>
    <sheet name="PLANO" sheetId="4" r:id="rId4"/>
    <sheet name="HISTORICO" sheetId="13" r:id="rId5"/>
    <sheet name="params" sheetId="7" state="hidden" r:id="rId6"/>
    <sheet name="COLE AQUI" sheetId="6" r:id="rId7"/>
    <sheet name="Pesquisa" sheetId="5" state="hidden" r:id="rId8"/>
  </sheets>
  <functionGroups builtInGroupCount="18"/>
  <externalReferences>
    <externalReference r:id="rId9"/>
    <externalReference r:id="rId10"/>
    <externalReference r:id="rId11"/>
    <externalReference r:id="rId12"/>
  </externalReferences>
  <definedNames>
    <definedName name="_xlnm._FilterDatabase" localSheetId="0" hidden="1">BANCO!$A$1:$Q$617</definedName>
    <definedName name="FORNEC04">[1]FORNECEDORES!$A:$Q</definedName>
    <definedName name="Hist_itau">[2]CENTERLAR_BANCO_14!$A:$D</definedName>
    <definedName name="hist_padrao">[3]Plan1!$A$1:$E$65536</definedName>
    <definedName name="historico">[2]centerlar!$A:$D</definedName>
    <definedName name="ITAU14_04">'[4]extrato itau (2)'!$A$1:$G$65536</definedName>
    <definedName name="PLANO">PLANO!$A:$C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8" i="6" l="1"/>
  <c r="I757" i="6"/>
  <c r="I756" i="6"/>
  <c r="I755" i="6"/>
  <c r="I754" i="6"/>
  <c r="I753" i="6"/>
  <c r="I752" i="6"/>
  <c r="I751" i="6"/>
  <c r="I750" i="6"/>
  <c r="I749" i="6"/>
  <c r="I748" i="6"/>
  <c r="I747" i="6"/>
  <c r="I746" i="6"/>
  <c r="I745" i="6"/>
  <c r="I744" i="6"/>
  <c r="I743" i="6"/>
  <c r="I742" i="6"/>
  <c r="I741" i="6"/>
  <c r="I740" i="6"/>
  <c r="I739" i="6"/>
  <c r="I738" i="6"/>
  <c r="I737" i="6"/>
  <c r="I736" i="6"/>
  <c r="I735" i="6"/>
  <c r="I734" i="6"/>
  <c r="I733" i="6"/>
  <c r="I732" i="6"/>
  <c r="I731" i="6"/>
  <c r="I730" i="6"/>
  <c r="I729" i="6"/>
  <c r="I728" i="6"/>
  <c r="I727" i="6"/>
  <c r="I726" i="6"/>
  <c r="I725" i="6"/>
  <c r="I724" i="6"/>
  <c r="I723" i="6"/>
  <c r="I722" i="6"/>
  <c r="I721" i="6"/>
  <c r="I720" i="6"/>
  <c r="I719" i="6"/>
  <c r="I718" i="6"/>
  <c r="I717" i="6"/>
  <c r="I716" i="6"/>
  <c r="I715" i="6"/>
  <c r="I714" i="6"/>
  <c r="I713" i="6"/>
  <c r="I712" i="6"/>
  <c r="I711" i="6"/>
  <c r="I710" i="6"/>
  <c r="I709" i="6"/>
  <c r="I708" i="6"/>
  <c r="I707" i="6"/>
  <c r="I706" i="6"/>
  <c r="I705" i="6"/>
  <c r="I704" i="6"/>
  <c r="I703" i="6"/>
  <c r="I702" i="6"/>
  <c r="I701" i="6"/>
  <c r="I700" i="6"/>
  <c r="I699" i="6"/>
  <c r="I698" i="6"/>
  <c r="I697" i="6"/>
  <c r="I696" i="6"/>
  <c r="I695" i="6"/>
  <c r="I694" i="6"/>
  <c r="I693" i="6"/>
  <c r="I692" i="6"/>
  <c r="I691" i="6"/>
  <c r="I690" i="6"/>
  <c r="I689" i="6"/>
  <c r="I688" i="6"/>
  <c r="I687" i="6"/>
  <c r="I686" i="6"/>
  <c r="I685" i="6"/>
  <c r="I684" i="6"/>
  <c r="I683" i="6"/>
  <c r="I682" i="6"/>
  <c r="I681" i="6"/>
  <c r="I680" i="6"/>
  <c r="I679" i="6"/>
  <c r="I678" i="6"/>
  <c r="I677" i="6"/>
  <c r="I676" i="6"/>
  <c r="I675" i="6"/>
  <c r="I674" i="6"/>
  <c r="I673" i="6"/>
  <c r="I672" i="6"/>
  <c r="I671" i="6"/>
  <c r="I670" i="6"/>
  <c r="I669" i="6"/>
  <c r="I668" i="6"/>
  <c r="I667" i="6"/>
  <c r="I666" i="6"/>
  <c r="I665" i="6"/>
  <c r="I664" i="6"/>
  <c r="I663" i="6"/>
  <c r="I662" i="6"/>
  <c r="I661" i="6"/>
  <c r="I660" i="6"/>
  <c r="I659" i="6"/>
  <c r="I658" i="6"/>
  <c r="I657" i="6"/>
  <c r="I656" i="6"/>
  <c r="I655" i="6"/>
  <c r="I654" i="6"/>
  <c r="I653" i="6"/>
  <c r="I652" i="6"/>
  <c r="I651" i="6"/>
  <c r="I650" i="6"/>
  <c r="I649" i="6"/>
  <c r="I648" i="6"/>
  <c r="I647" i="6"/>
  <c r="I646" i="6"/>
  <c r="I645" i="6"/>
  <c r="I644" i="6"/>
  <c r="I643" i="6"/>
  <c r="I642" i="6"/>
  <c r="I641" i="6"/>
  <c r="I640" i="6"/>
  <c r="I639" i="6"/>
  <c r="I638" i="6"/>
  <c r="I637" i="6"/>
  <c r="I636" i="6"/>
  <c r="I635" i="6"/>
  <c r="I634" i="6"/>
  <c r="I633" i="6"/>
  <c r="I632" i="6"/>
  <c r="I631" i="6"/>
  <c r="I630" i="6"/>
  <c r="I629" i="6"/>
  <c r="I628" i="6"/>
  <c r="I627" i="6"/>
  <c r="I626" i="6"/>
  <c r="I625" i="6"/>
  <c r="I624" i="6"/>
  <c r="I623" i="6"/>
  <c r="I622" i="6"/>
  <c r="I621" i="6"/>
  <c r="I620" i="6"/>
  <c r="I619" i="6"/>
  <c r="I618" i="6"/>
  <c r="I617" i="6"/>
  <c r="I616" i="6"/>
  <c r="I615" i="6"/>
  <c r="I614" i="6"/>
  <c r="I613" i="6"/>
  <c r="I612" i="6"/>
  <c r="I611" i="6"/>
  <c r="I610" i="6"/>
  <c r="I609" i="6"/>
  <c r="I608" i="6"/>
  <c r="I607" i="6"/>
  <c r="I606" i="6"/>
  <c r="I605" i="6"/>
  <c r="I604" i="6"/>
  <c r="I603" i="6"/>
  <c r="I602" i="6"/>
  <c r="I601" i="6"/>
  <c r="I600" i="6"/>
  <c r="I599" i="6"/>
  <c r="I598" i="6"/>
  <c r="I597" i="6"/>
  <c r="I596" i="6"/>
  <c r="I595" i="6"/>
  <c r="I594" i="6"/>
  <c r="I593" i="6"/>
  <c r="I592" i="6"/>
  <c r="I591" i="6"/>
  <c r="I590" i="6"/>
  <c r="I589" i="6"/>
  <c r="I588" i="6"/>
  <c r="I587" i="6"/>
  <c r="I586" i="6"/>
  <c r="I585" i="6"/>
  <c r="I584" i="6"/>
  <c r="I583" i="6"/>
  <c r="I582" i="6"/>
  <c r="I581" i="6"/>
  <c r="I580" i="6"/>
  <c r="I579" i="6"/>
  <c r="I578" i="6"/>
  <c r="I577" i="6"/>
  <c r="I576" i="6"/>
  <c r="I575" i="6"/>
  <c r="I574" i="6"/>
  <c r="I573" i="6"/>
  <c r="I572" i="6"/>
  <c r="I571" i="6"/>
  <c r="I570" i="6"/>
  <c r="I569" i="6"/>
  <c r="I568" i="6"/>
  <c r="I567" i="6"/>
  <c r="I566" i="6"/>
  <c r="I565" i="6"/>
  <c r="I564" i="6"/>
  <c r="I563" i="6"/>
  <c r="I562" i="6"/>
  <c r="I561" i="6"/>
  <c r="I560" i="6"/>
  <c r="I559" i="6"/>
  <c r="I558" i="6"/>
  <c r="I557" i="6"/>
  <c r="I556" i="6"/>
  <c r="I555" i="6"/>
  <c r="I554" i="6"/>
  <c r="I553" i="6"/>
  <c r="I552" i="6"/>
  <c r="I551" i="6"/>
  <c r="I550" i="6"/>
  <c r="I549" i="6"/>
  <c r="I548" i="6"/>
  <c r="I547" i="6"/>
  <c r="I546" i="6"/>
  <c r="I545" i="6"/>
  <c r="I544" i="6"/>
  <c r="I543" i="6"/>
  <c r="I542" i="6"/>
  <c r="I541" i="6"/>
  <c r="I540" i="6"/>
  <c r="I539" i="6"/>
  <c r="I538" i="6"/>
  <c r="I537" i="6"/>
  <c r="I536" i="6"/>
  <c r="I535" i="6"/>
  <c r="I534" i="6"/>
  <c r="I533" i="6"/>
  <c r="I532" i="6"/>
  <c r="I531" i="6"/>
  <c r="I530" i="6"/>
  <c r="I529" i="6"/>
  <c r="I528" i="6"/>
  <c r="I527" i="6"/>
  <c r="I526" i="6"/>
  <c r="I525" i="6"/>
  <c r="I524" i="6"/>
  <c r="I523" i="6"/>
  <c r="I522" i="6"/>
  <c r="I521" i="6"/>
  <c r="I520" i="6"/>
  <c r="I519" i="6"/>
  <c r="I518" i="6"/>
  <c r="I517" i="6"/>
  <c r="I516" i="6"/>
  <c r="I515" i="6"/>
  <c r="I514" i="6"/>
  <c r="I513" i="6"/>
  <c r="I512" i="6"/>
  <c r="I511" i="6"/>
  <c r="I510" i="6"/>
  <c r="I509" i="6"/>
  <c r="I508" i="6"/>
  <c r="I507" i="6"/>
  <c r="I506" i="6"/>
  <c r="I505" i="6"/>
  <c r="I504" i="6"/>
  <c r="I503" i="6"/>
  <c r="I502" i="6"/>
  <c r="I501" i="6"/>
  <c r="I500" i="6"/>
  <c r="I499" i="6"/>
  <c r="I498" i="6"/>
  <c r="I497" i="6"/>
  <c r="I496" i="6"/>
  <c r="I495" i="6"/>
  <c r="I494" i="6"/>
  <c r="I493" i="6"/>
  <c r="I492" i="6"/>
  <c r="I491" i="6"/>
  <c r="I490" i="6"/>
  <c r="I489" i="6"/>
  <c r="I488" i="6"/>
  <c r="I487" i="6"/>
  <c r="I486" i="6"/>
  <c r="I485" i="6"/>
  <c r="I484" i="6"/>
  <c r="I483" i="6"/>
  <c r="I482" i="6"/>
  <c r="I481" i="6"/>
  <c r="I480" i="6"/>
  <c r="I479" i="6"/>
  <c r="I478" i="6"/>
  <c r="I477" i="6"/>
  <c r="I476" i="6"/>
  <c r="I475" i="6"/>
  <c r="I474" i="6"/>
  <c r="I473" i="6"/>
  <c r="I472" i="6"/>
  <c r="I471" i="6"/>
  <c r="I470" i="6"/>
  <c r="I469" i="6"/>
  <c r="I468" i="6"/>
  <c r="I467" i="6"/>
  <c r="I466" i="6"/>
  <c r="I465" i="6"/>
  <c r="I464" i="6"/>
  <c r="I463" i="6"/>
  <c r="I462" i="6"/>
  <c r="I461" i="6"/>
  <c r="I460" i="6"/>
  <c r="I459" i="6"/>
  <c r="I458" i="6"/>
  <c r="I457" i="6"/>
  <c r="I456" i="6"/>
  <c r="I455" i="6"/>
  <c r="I454" i="6"/>
  <c r="I453" i="6"/>
  <c r="I452" i="6"/>
  <c r="I451" i="6"/>
  <c r="I450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I410" i="6"/>
  <c r="I409" i="6"/>
  <c r="I408" i="6"/>
  <c r="I407" i="6"/>
  <c r="I406" i="6"/>
  <c r="I405" i="6"/>
  <c r="I404" i="6"/>
  <c r="I403" i="6"/>
  <c r="I402" i="6"/>
  <c r="I401" i="6"/>
  <c r="I400" i="6"/>
  <c r="I399" i="6"/>
  <c r="I398" i="6"/>
  <c r="I397" i="6"/>
  <c r="I396" i="6"/>
  <c r="I395" i="6"/>
  <c r="I394" i="6"/>
  <c r="I393" i="6"/>
  <c r="I392" i="6"/>
  <c r="I391" i="6"/>
  <c r="I390" i="6"/>
  <c r="I389" i="6"/>
  <c r="I388" i="6"/>
  <c r="I387" i="6"/>
  <c r="I386" i="6"/>
  <c r="I385" i="6"/>
  <c r="I384" i="6"/>
  <c r="I383" i="6"/>
  <c r="I382" i="6"/>
  <c r="I381" i="6"/>
  <c r="I380" i="6"/>
  <c r="I379" i="6"/>
  <c r="I378" i="6"/>
  <c r="I377" i="6"/>
  <c r="I376" i="6"/>
  <c r="I375" i="6"/>
  <c r="I374" i="6"/>
  <c r="I373" i="6"/>
  <c r="I372" i="6"/>
  <c r="I371" i="6"/>
  <c r="I370" i="6"/>
  <c r="I369" i="6"/>
  <c r="I368" i="6"/>
  <c r="I367" i="6"/>
  <c r="I366" i="6"/>
  <c r="I365" i="6"/>
  <c r="I364" i="6"/>
  <c r="I363" i="6"/>
  <c r="I362" i="6"/>
  <c r="I361" i="6"/>
  <c r="I360" i="6"/>
  <c r="I359" i="6"/>
  <c r="I358" i="6"/>
  <c r="I357" i="6"/>
  <c r="I356" i="6"/>
  <c r="I355" i="6"/>
  <c r="I354" i="6"/>
  <c r="I353" i="6"/>
  <c r="I352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O7" i="11" l="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6" i="11"/>
  <c r="J6" i="11" l="1"/>
  <c r="J8" i="11" l="1"/>
  <c r="G6" i="11" l="1"/>
  <c r="G7" i="11" s="1"/>
  <c r="L1" i="11" l="1"/>
  <c r="C1" i="11"/>
  <c r="G450" i="11" l="1"/>
  <c r="J7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J461" i="11"/>
  <c r="J462" i="11"/>
  <c r="J463" i="11"/>
  <c r="J464" i="11"/>
  <c r="J465" i="11"/>
  <c r="J466" i="11"/>
  <c r="J467" i="11"/>
  <c r="J468" i="11"/>
  <c r="J469" i="11"/>
  <c r="J470" i="11"/>
  <c r="J471" i="11"/>
  <c r="J472" i="11"/>
  <c r="J473" i="11"/>
  <c r="J474" i="11"/>
  <c r="J475" i="11"/>
  <c r="J476" i="11"/>
  <c r="J477" i="11"/>
  <c r="J478" i="11"/>
  <c r="J479" i="11"/>
  <c r="J480" i="11"/>
  <c r="J481" i="11"/>
  <c r="J482" i="11"/>
  <c r="J483" i="11"/>
  <c r="J484" i="11"/>
  <c r="J485" i="11"/>
  <c r="J486" i="11"/>
  <c r="J487" i="11"/>
  <c r="J488" i="11"/>
  <c r="J489" i="11"/>
  <c r="J490" i="11"/>
  <c r="J491" i="11"/>
  <c r="J492" i="11"/>
  <c r="J493" i="11"/>
  <c r="J494" i="11"/>
  <c r="J495" i="11"/>
  <c r="J496" i="11"/>
  <c r="J497" i="11"/>
  <c r="J498" i="11"/>
  <c r="J499" i="11"/>
  <c r="J500" i="11"/>
  <c r="J501" i="11"/>
  <c r="J502" i="11"/>
  <c r="J503" i="11"/>
  <c r="J504" i="11"/>
  <c r="J505" i="11"/>
  <c r="J506" i="11"/>
  <c r="J507" i="11"/>
  <c r="J508" i="11"/>
  <c r="J509" i="11"/>
  <c r="J510" i="11"/>
  <c r="J511" i="11"/>
  <c r="J512" i="11"/>
  <c r="J513" i="11"/>
  <c r="J514" i="11"/>
  <c r="J515" i="11"/>
  <c r="J516" i="11"/>
  <c r="J517" i="11"/>
  <c r="J518" i="11"/>
  <c r="J519" i="11"/>
  <c r="J520" i="11"/>
  <c r="J521" i="11"/>
  <c r="J522" i="11"/>
  <c r="J523" i="11"/>
  <c r="J524" i="11"/>
  <c r="J525" i="11"/>
  <c r="J526" i="11"/>
  <c r="J527" i="11"/>
  <c r="J528" i="11"/>
  <c r="J529" i="11"/>
  <c r="J530" i="11"/>
  <c r="J531" i="11"/>
  <c r="J532" i="11"/>
  <c r="J533" i="11"/>
  <c r="J534" i="11"/>
  <c r="J535" i="11"/>
  <c r="J536" i="11"/>
  <c r="J537" i="11"/>
  <c r="J538" i="11"/>
  <c r="J539" i="11"/>
  <c r="J540" i="11"/>
  <c r="J541" i="11"/>
  <c r="J542" i="11"/>
  <c r="J543" i="11"/>
  <c r="J544" i="11"/>
  <c r="J545" i="11"/>
  <c r="J546" i="11"/>
  <c r="J547" i="11"/>
  <c r="J548" i="11"/>
  <c r="J549" i="11"/>
  <c r="J550" i="11"/>
  <c r="J551" i="11"/>
  <c r="J552" i="11"/>
  <c r="J553" i="11"/>
  <c r="J554" i="11"/>
  <c r="J555" i="11"/>
  <c r="J556" i="11"/>
  <c r="J557" i="11"/>
  <c r="J558" i="11"/>
  <c r="J559" i="11"/>
  <c r="J560" i="11"/>
  <c r="J561" i="11"/>
  <c r="J562" i="11"/>
  <c r="J563" i="11"/>
  <c r="J564" i="11"/>
  <c r="J565" i="11"/>
  <c r="J566" i="11"/>
  <c r="J567" i="11"/>
  <c r="J568" i="11"/>
  <c r="J569" i="11"/>
  <c r="J570" i="11"/>
  <c r="J571" i="11"/>
  <c r="J572" i="11"/>
  <c r="J573" i="11"/>
  <c r="J574" i="11"/>
  <c r="J575" i="11"/>
  <c r="J576" i="11"/>
  <c r="J577" i="11"/>
  <c r="J578" i="11"/>
  <c r="J579" i="11"/>
  <c r="J580" i="11"/>
  <c r="J581" i="11"/>
  <c r="J582" i="11"/>
  <c r="J583" i="11"/>
  <c r="J584" i="11"/>
  <c r="J585" i="11"/>
  <c r="J586" i="11"/>
  <c r="J587" i="11"/>
  <c r="J588" i="11"/>
  <c r="J589" i="11"/>
  <c r="J590" i="11"/>
  <c r="J591" i="11"/>
  <c r="J592" i="11"/>
  <c r="J593" i="11"/>
  <c r="J594" i="11"/>
  <c r="J595" i="11"/>
  <c r="J596" i="11"/>
  <c r="J597" i="11"/>
  <c r="J598" i="11"/>
  <c r="J599" i="11"/>
  <c r="J600" i="11"/>
  <c r="J601" i="11"/>
  <c r="J602" i="11"/>
  <c r="J603" i="11"/>
  <c r="J604" i="11"/>
  <c r="J605" i="11"/>
  <c r="J606" i="11"/>
  <c r="J607" i="11"/>
  <c r="J608" i="11"/>
  <c r="J609" i="11"/>
  <c r="J610" i="11"/>
  <c r="J611" i="11"/>
  <c r="J612" i="11"/>
  <c r="J613" i="11"/>
  <c r="J614" i="11"/>
  <c r="J615" i="11"/>
  <c r="J616" i="11"/>
  <c r="J617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" i="11"/>
  <c r="G394" i="11" l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G482" i="11" s="1"/>
  <c r="G483" i="11" s="1"/>
  <c r="G484" i="11" s="1"/>
  <c r="G485" i="11" s="1"/>
  <c r="G486" i="11" s="1"/>
  <c r="G487" i="11" s="1"/>
  <c r="G488" i="11" s="1"/>
  <c r="G489" i="11" s="1"/>
  <c r="G490" i="11" s="1"/>
  <c r="G491" i="11" s="1"/>
  <c r="G492" i="11" s="1"/>
  <c r="G493" i="11" s="1"/>
  <c r="G494" i="11" s="1"/>
  <c r="G495" i="11" s="1"/>
  <c r="G496" i="11" s="1"/>
  <c r="G497" i="11" s="1"/>
  <c r="G498" i="11" s="1"/>
  <c r="G499" i="11" s="1"/>
  <c r="G500" i="11" s="1"/>
  <c r="G501" i="11" s="1"/>
  <c r="G502" i="11" s="1"/>
  <c r="G503" i="11" s="1"/>
  <c r="G504" i="11" s="1"/>
  <c r="G505" i="11" s="1"/>
  <c r="G506" i="11" s="1"/>
  <c r="G507" i="11" s="1"/>
  <c r="G508" i="11" s="1"/>
  <c r="G509" i="11" s="1"/>
  <c r="G510" i="11" s="1"/>
  <c r="G511" i="11" s="1"/>
  <c r="G512" i="11" s="1"/>
  <c r="G513" i="11" s="1"/>
  <c r="G514" i="11" s="1"/>
  <c r="G515" i="11" s="1"/>
  <c r="G516" i="11" s="1"/>
  <c r="G517" i="11" s="1"/>
  <c r="G518" i="11" s="1"/>
  <c r="G519" i="11" s="1"/>
  <c r="G520" i="11" s="1"/>
  <c r="G521" i="11" s="1"/>
  <c r="G522" i="11" s="1"/>
  <c r="G523" i="11" s="1"/>
  <c r="G524" i="11" s="1"/>
  <c r="G525" i="11" s="1"/>
  <c r="G526" i="11" s="1"/>
  <c r="G527" i="11" s="1"/>
  <c r="G528" i="11" s="1"/>
  <c r="G529" i="11" s="1"/>
  <c r="G530" i="11" s="1"/>
  <c r="G531" i="11" s="1"/>
  <c r="G532" i="11" s="1"/>
  <c r="G533" i="11" s="1"/>
  <c r="G534" i="11" s="1"/>
  <c r="G535" i="11" s="1"/>
  <c r="G536" i="11" s="1"/>
  <c r="G537" i="11" s="1"/>
  <c r="G538" i="11" s="1"/>
  <c r="G539" i="11" s="1"/>
  <c r="G540" i="11" s="1"/>
  <c r="G541" i="11" s="1"/>
  <c r="G542" i="11" s="1"/>
  <c r="G543" i="11" s="1"/>
  <c r="G544" i="11" s="1"/>
  <c r="G545" i="11" s="1"/>
  <c r="G546" i="11" s="1"/>
  <c r="G547" i="11" s="1"/>
  <c r="G548" i="11" s="1"/>
  <c r="G549" i="11" s="1"/>
  <c r="G550" i="11" s="1"/>
  <c r="G551" i="11" s="1"/>
  <c r="G552" i="11" s="1"/>
  <c r="G553" i="11" s="1"/>
  <c r="G554" i="11" s="1"/>
  <c r="G555" i="11" s="1"/>
  <c r="G556" i="11" s="1"/>
  <c r="G557" i="11" s="1"/>
  <c r="G558" i="11" s="1"/>
  <c r="G559" i="11" s="1"/>
  <c r="G560" i="11" s="1"/>
  <c r="G561" i="11" s="1"/>
  <c r="G562" i="11" s="1"/>
  <c r="G563" i="11" s="1"/>
  <c r="G564" i="11" s="1"/>
  <c r="G565" i="11" s="1"/>
  <c r="G566" i="11" s="1"/>
  <c r="G567" i="11" s="1"/>
  <c r="G568" i="11" s="1"/>
  <c r="G569" i="11" s="1"/>
  <c r="G570" i="11" s="1"/>
  <c r="G571" i="11" s="1"/>
  <c r="G572" i="11" s="1"/>
  <c r="G573" i="11" s="1"/>
  <c r="G574" i="11" s="1"/>
  <c r="G575" i="11" s="1"/>
  <c r="G576" i="11" s="1"/>
  <c r="G577" i="11" s="1"/>
  <c r="G578" i="11" s="1"/>
  <c r="G579" i="11" s="1"/>
  <c r="G580" i="11" s="1"/>
  <c r="G581" i="11" s="1"/>
  <c r="G582" i="11" s="1"/>
  <c r="G583" i="11" s="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C293" i="11"/>
  <c r="C292" i="11"/>
  <c r="C291" i="11"/>
  <c r="C290" i="11"/>
  <c r="C197" i="11" l="1"/>
  <c r="C200" i="11"/>
  <c r="C193" i="11"/>
  <c r="H3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O499" i="11"/>
  <c r="C499" i="11"/>
  <c r="O498" i="11"/>
  <c r="C498" i="11"/>
  <c r="O497" i="11"/>
  <c r="C497" i="11"/>
  <c r="O496" i="11"/>
  <c r="C496" i="11"/>
  <c r="O495" i="11"/>
  <c r="C495" i="11"/>
  <c r="O494" i="11"/>
  <c r="C494" i="11"/>
  <c r="O493" i="11"/>
  <c r="C493" i="11"/>
  <c r="O492" i="11"/>
  <c r="C492" i="11"/>
  <c r="O491" i="11"/>
  <c r="C491" i="11"/>
  <c r="O490" i="11"/>
  <c r="C490" i="11"/>
  <c r="O489" i="11"/>
  <c r="C489" i="11"/>
  <c r="O488" i="11"/>
  <c r="C488" i="11"/>
  <c r="O487" i="11"/>
  <c r="C487" i="11"/>
  <c r="O486" i="11"/>
  <c r="C486" i="11"/>
  <c r="O485" i="11"/>
  <c r="C485" i="11"/>
  <c r="O484" i="11"/>
  <c r="C484" i="11"/>
  <c r="O483" i="11"/>
  <c r="C483" i="11"/>
  <c r="O482" i="11"/>
  <c r="C482" i="11"/>
  <c r="O481" i="11"/>
  <c r="C481" i="11"/>
  <c r="O480" i="11"/>
  <c r="C480" i="11"/>
  <c r="O479" i="11"/>
  <c r="C479" i="11"/>
  <c r="O478" i="11"/>
  <c r="C478" i="11"/>
  <c r="O477" i="11"/>
  <c r="C477" i="11"/>
  <c r="O476" i="11"/>
  <c r="C476" i="11"/>
  <c r="O475" i="11"/>
  <c r="C475" i="11"/>
  <c r="O474" i="11"/>
  <c r="C474" i="11"/>
  <c r="O473" i="11"/>
  <c r="C473" i="11"/>
  <c r="O472" i="11"/>
  <c r="C472" i="11"/>
  <c r="O471" i="11"/>
  <c r="C471" i="11"/>
  <c r="O470" i="11"/>
  <c r="C470" i="11"/>
  <c r="O469" i="11"/>
  <c r="C469" i="11"/>
  <c r="O468" i="11"/>
  <c r="C468" i="11"/>
  <c r="O467" i="11"/>
  <c r="C467" i="11"/>
  <c r="O466" i="11"/>
  <c r="C466" i="11"/>
  <c r="O465" i="11"/>
  <c r="C465" i="11"/>
  <c r="O464" i="11"/>
  <c r="C464" i="11"/>
  <c r="O463" i="11"/>
  <c r="C463" i="11"/>
  <c r="O462" i="11"/>
  <c r="C462" i="11"/>
  <c r="O461" i="11"/>
  <c r="C461" i="11"/>
  <c r="O460" i="11"/>
  <c r="C460" i="11"/>
  <c r="O459" i="11"/>
  <c r="C459" i="11"/>
  <c r="O458" i="11"/>
  <c r="C458" i="11"/>
  <c r="O457" i="11"/>
  <c r="C457" i="11"/>
  <c r="O456" i="11"/>
  <c r="C456" i="11"/>
  <c r="O455" i="11"/>
  <c r="C455" i="11"/>
  <c r="O454" i="11"/>
  <c r="C454" i="11"/>
  <c r="O453" i="11"/>
  <c r="C453" i="11"/>
  <c r="O452" i="11"/>
  <c r="C452" i="11"/>
  <c r="O451" i="11"/>
  <c r="C451" i="11"/>
  <c r="O450" i="11"/>
  <c r="C450" i="11"/>
  <c r="O449" i="11"/>
  <c r="C449" i="11"/>
  <c r="O448" i="11"/>
  <c r="C448" i="11"/>
  <c r="O447" i="11"/>
  <c r="C447" i="11"/>
  <c r="O446" i="11"/>
  <c r="C446" i="11"/>
  <c r="O445" i="11"/>
  <c r="C445" i="11"/>
  <c r="O444" i="11"/>
  <c r="C444" i="11"/>
  <c r="O443" i="11"/>
  <c r="C443" i="11"/>
  <c r="O442" i="11"/>
  <c r="C442" i="11"/>
  <c r="O441" i="11"/>
  <c r="C441" i="11"/>
  <c r="O440" i="11"/>
  <c r="C440" i="11"/>
  <c r="O439" i="11"/>
  <c r="C439" i="11"/>
  <c r="O438" i="11"/>
  <c r="C438" i="11"/>
  <c r="O437" i="11"/>
  <c r="C437" i="11"/>
  <c r="O436" i="11"/>
  <c r="C436" i="11"/>
  <c r="O435" i="11"/>
  <c r="C435" i="11"/>
  <c r="O434" i="11"/>
  <c r="C434" i="11"/>
  <c r="O433" i="11"/>
  <c r="C433" i="11"/>
  <c r="O432" i="11"/>
  <c r="C432" i="11"/>
  <c r="O431" i="11"/>
  <c r="C431" i="11"/>
  <c r="O430" i="11"/>
  <c r="C430" i="11"/>
  <c r="O429" i="11"/>
  <c r="C429" i="11"/>
  <c r="O428" i="11"/>
  <c r="C428" i="11"/>
  <c r="O427" i="11"/>
  <c r="C427" i="11"/>
  <c r="O426" i="11"/>
  <c r="C426" i="11"/>
  <c r="O425" i="11"/>
  <c r="C425" i="11"/>
  <c r="O424" i="11"/>
  <c r="C424" i="11"/>
  <c r="O423" i="11"/>
  <c r="C423" i="11"/>
  <c r="O422" i="11"/>
  <c r="C422" i="11"/>
  <c r="O421" i="11"/>
  <c r="C421" i="11"/>
  <c r="O420" i="11"/>
  <c r="C420" i="11"/>
  <c r="O419" i="11"/>
  <c r="C419" i="11"/>
  <c r="O418" i="11"/>
  <c r="C418" i="11"/>
  <c r="O417" i="11"/>
  <c r="C417" i="11"/>
  <c r="O416" i="11"/>
  <c r="C416" i="11"/>
  <c r="O415" i="11"/>
  <c r="C415" i="11"/>
  <c r="O414" i="11"/>
  <c r="C414" i="11"/>
  <c r="O413" i="11"/>
  <c r="C413" i="11"/>
  <c r="O412" i="11"/>
  <c r="C412" i="11"/>
  <c r="O411" i="11"/>
  <c r="C411" i="11"/>
  <c r="O410" i="11"/>
  <c r="C410" i="11"/>
  <c r="O409" i="11"/>
  <c r="C409" i="11"/>
  <c r="O408" i="11"/>
  <c r="C408" i="11"/>
  <c r="O407" i="11"/>
  <c r="C407" i="11"/>
  <c r="O406" i="11"/>
  <c r="C406" i="11"/>
  <c r="O405" i="11"/>
  <c r="C405" i="11"/>
  <c r="O404" i="11"/>
  <c r="C404" i="11"/>
  <c r="O403" i="11"/>
  <c r="C403" i="11"/>
  <c r="O402" i="11"/>
  <c r="C402" i="11"/>
  <c r="O401" i="11"/>
  <c r="C401" i="11"/>
  <c r="O400" i="11"/>
  <c r="C400" i="11"/>
  <c r="O399" i="11"/>
  <c r="C399" i="11"/>
  <c r="O398" i="11"/>
  <c r="C398" i="11"/>
  <c r="O397" i="11"/>
  <c r="C397" i="11"/>
  <c r="O396" i="11"/>
  <c r="C396" i="11"/>
  <c r="O395" i="11"/>
  <c r="C395" i="11"/>
  <c r="O394" i="11"/>
  <c r="C394" i="11"/>
  <c r="O393" i="11"/>
  <c r="C393" i="11"/>
  <c r="O392" i="11"/>
  <c r="C392" i="11"/>
  <c r="O391" i="11"/>
  <c r="C391" i="11"/>
  <c r="O390" i="11"/>
  <c r="C390" i="11"/>
  <c r="O389" i="11"/>
  <c r="C389" i="11"/>
  <c r="O388" i="11"/>
  <c r="C388" i="11"/>
  <c r="O387" i="11"/>
  <c r="C387" i="11"/>
  <c r="O386" i="11"/>
  <c r="C386" i="11"/>
  <c r="O385" i="11"/>
  <c r="C385" i="11"/>
  <c r="O384" i="11"/>
  <c r="C384" i="11"/>
  <c r="O383" i="11"/>
  <c r="C383" i="11"/>
  <c r="O382" i="11"/>
  <c r="C382" i="11"/>
  <c r="O381" i="11"/>
  <c r="C381" i="11"/>
  <c r="O380" i="11"/>
  <c r="C380" i="11"/>
  <c r="O379" i="11"/>
  <c r="C379" i="11"/>
  <c r="O378" i="11"/>
  <c r="C378" i="11"/>
  <c r="O377" i="11"/>
  <c r="C377" i="11"/>
  <c r="O376" i="11"/>
  <c r="C376" i="11"/>
  <c r="O375" i="11"/>
  <c r="C375" i="11"/>
  <c r="O374" i="11"/>
  <c r="C374" i="11"/>
  <c r="O373" i="11"/>
  <c r="C373" i="11"/>
  <c r="O372" i="11"/>
  <c r="C372" i="11"/>
  <c r="O371" i="11"/>
  <c r="C371" i="11"/>
  <c r="O370" i="11"/>
  <c r="C370" i="11"/>
  <c r="O369" i="11"/>
  <c r="C369" i="11"/>
  <c r="O368" i="11"/>
  <c r="C368" i="11"/>
  <c r="O367" i="11"/>
  <c r="C367" i="11"/>
  <c r="O366" i="11"/>
  <c r="C366" i="11"/>
  <c r="O365" i="11"/>
  <c r="C365" i="11"/>
  <c r="O364" i="11"/>
  <c r="C364" i="11"/>
  <c r="O363" i="11"/>
  <c r="C363" i="11"/>
  <c r="O362" i="11"/>
  <c r="C362" i="11"/>
  <c r="O361" i="11"/>
  <c r="C361" i="11"/>
  <c r="O360" i="11"/>
  <c r="C360" i="11"/>
  <c r="O359" i="11"/>
  <c r="C359" i="11"/>
  <c r="O358" i="11"/>
  <c r="C358" i="11"/>
  <c r="O357" i="11"/>
  <c r="C357" i="11"/>
  <c r="O356" i="11"/>
  <c r="C356" i="11"/>
  <c r="O355" i="11"/>
  <c r="C355" i="11"/>
  <c r="O354" i="11"/>
  <c r="C354" i="11"/>
  <c r="O353" i="11"/>
  <c r="C353" i="11"/>
  <c r="O352" i="11"/>
  <c r="C352" i="11"/>
  <c r="O351" i="11"/>
  <c r="C351" i="11"/>
  <c r="O350" i="11"/>
  <c r="C350" i="11"/>
  <c r="O349" i="11"/>
  <c r="C349" i="11"/>
  <c r="O348" i="11"/>
  <c r="C348" i="11"/>
  <c r="O347" i="11"/>
  <c r="C347" i="11"/>
  <c r="O346" i="11"/>
  <c r="C346" i="11"/>
  <c r="O345" i="11"/>
  <c r="C345" i="11"/>
  <c r="O344" i="11"/>
  <c r="C344" i="11"/>
  <c r="O343" i="11"/>
  <c r="C343" i="11"/>
  <c r="O342" i="11"/>
  <c r="C342" i="11"/>
  <c r="O341" i="11"/>
  <c r="C341" i="11"/>
  <c r="O340" i="11"/>
  <c r="C340" i="11"/>
  <c r="O339" i="11"/>
  <c r="C339" i="11"/>
  <c r="O338" i="11"/>
  <c r="C338" i="11"/>
  <c r="O337" i="11"/>
  <c r="C337" i="11"/>
  <c r="O336" i="11"/>
  <c r="C336" i="11"/>
  <c r="O335" i="11"/>
  <c r="C335" i="11"/>
  <c r="O334" i="11"/>
  <c r="C334" i="11"/>
  <c r="O333" i="11"/>
  <c r="C333" i="11"/>
  <c r="O332" i="11"/>
  <c r="C332" i="11"/>
  <c r="O331" i="11"/>
  <c r="C331" i="11"/>
  <c r="O330" i="11"/>
  <c r="C330" i="11"/>
  <c r="O329" i="11"/>
  <c r="C329" i="11"/>
  <c r="O328" i="11"/>
  <c r="C328" i="11"/>
  <c r="O327" i="11"/>
  <c r="C327" i="11"/>
  <c r="O326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O313" i="11"/>
  <c r="C313" i="11"/>
  <c r="O312" i="11"/>
  <c r="C312" i="11"/>
  <c r="O311" i="11"/>
  <c r="C311" i="11"/>
  <c r="O310" i="11"/>
  <c r="C310" i="11"/>
  <c r="O309" i="11"/>
  <c r="C309" i="11"/>
  <c r="O308" i="11"/>
  <c r="C308" i="11"/>
  <c r="O307" i="11"/>
  <c r="C307" i="11"/>
  <c r="O306" i="11"/>
  <c r="C306" i="11"/>
  <c r="O305" i="11"/>
  <c r="C305" i="11"/>
  <c r="O304" i="11"/>
  <c r="C304" i="11"/>
  <c r="O303" i="11"/>
  <c r="C303" i="11"/>
  <c r="O302" i="11"/>
  <c r="C302" i="11"/>
  <c r="O301" i="11"/>
  <c r="C301" i="11"/>
  <c r="O300" i="11"/>
  <c r="C300" i="11"/>
  <c r="O299" i="11"/>
  <c r="C299" i="11"/>
  <c r="O298" i="11"/>
  <c r="C298" i="11"/>
  <c r="O297" i="11"/>
  <c r="C297" i="11"/>
  <c r="O296" i="11"/>
  <c r="C296" i="11"/>
  <c r="O295" i="11"/>
  <c r="C295" i="11"/>
  <c r="O294" i="11"/>
  <c r="C294" i="11"/>
  <c r="O289" i="11"/>
  <c r="C289" i="11"/>
  <c r="O288" i="11"/>
  <c r="C288" i="11"/>
  <c r="O287" i="11"/>
  <c r="C287" i="11"/>
  <c r="O286" i="11"/>
  <c r="C286" i="11"/>
  <c r="O285" i="11"/>
  <c r="C285" i="11"/>
  <c r="O284" i="11"/>
  <c r="C284" i="11"/>
  <c r="O283" i="11"/>
  <c r="C283" i="11"/>
  <c r="O282" i="11"/>
  <c r="C282" i="11"/>
  <c r="O281" i="11"/>
  <c r="C281" i="11"/>
  <c r="O280" i="11"/>
  <c r="C280" i="11"/>
  <c r="O279" i="11"/>
  <c r="C279" i="11"/>
  <c r="O278" i="11"/>
  <c r="C278" i="11"/>
  <c r="O277" i="11"/>
  <c r="C277" i="11"/>
  <c r="O276" i="11"/>
  <c r="C276" i="11"/>
  <c r="O275" i="11"/>
  <c r="C275" i="11"/>
  <c r="O274" i="11"/>
  <c r="C274" i="11"/>
  <c r="O273" i="11"/>
  <c r="C273" i="11"/>
  <c r="O272" i="11"/>
  <c r="C272" i="11"/>
  <c r="O271" i="11"/>
  <c r="C271" i="11"/>
  <c r="O270" i="11"/>
  <c r="C270" i="11"/>
  <c r="O269" i="11"/>
  <c r="C269" i="11"/>
  <c r="O268" i="11"/>
  <c r="C268" i="11"/>
  <c r="O267" i="11"/>
  <c r="C267" i="11"/>
  <c r="O266" i="11"/>
  <c r="C266" i="11"/>
  <c r="O265" i="11"/>
  <c r="C265" i="11"/>
  <c r="O264" i="11"/>
  <c r="C264" i="11"/>
  <c r="O263" i="11"/>
  <c r="C263" i="11"/>
  <c r="O262" i="11"/>
  <c r="C262" i="11"/>
  <c r="O261" i="11"/>
  <c r="C261" i="11"/>
  <c r="O260" i="11"/>
  <c r="C260" i="11"/>
  <c r="O259" i="11"/>
  <c r="C259" i="11"/>
  <c r="O258" i="11"/>
  <c r="C258" i="11"/>
  <c r="O257" i="11"/>
  <c r="C257" i="11"/>
  <c r="O256" i="11"/>
  <c r="C256" i="11"/>
  <c r="O255" i="11"/>
  <c r="C255" i="11"/>
  <c r="O254" i="11"/>
  <c r="C254" i="11"/>
  <c r="O253" i="11"/>
  <c r="C253" i="11"/>
  <c r="O252" i="11"/>
  <c r="C252" i="11"/>
  <c r="O251" i="11"/>
  <c r="C251" i="11"/>
  <c r="O250" i="11"/>
  <c r="C250" i="11"/>
  <c r="O249" i="11"/>
  <c r="C249" i="11"/>
  <c r="O248" i="11"/>
  <c r="C248" i="11"/>
  <c r="O247" i="11"/>
  <c r="C247" i="11"/>
  <c r="O246" i="11"/>
  <c r="C246" i="11"/>
  <c r="O245" i="11"/>
  <c r="C245" i="11"/>
  <c r="O244" i="11"/>
  <c r="C244" i="11"/>
  <c r="O243" i="11"/>
  <c r="C243" i="11"/>
  <c r="O242" i="11"/>
  <c r="C242" i="11"/>
  <c r="O241" i="11"/>
  <c r="C241" i="11"/>
  <c r="O240" i="11"/>
  <c r="C240" i="11"/>
  <c r="O239" i="11"/>
  <c r="C239" i="11"/>
  <c r="O238" i="11"/>
  <c r="C238" i="11"/>
  <c r="O237" i="11"/>
  <c r="C237" i="11"/>
  <c r="O236" i="11"/>
  <c r="C236" i="11"/>
  <c r="O235" i="11"/>
  <c r="C235" i="11"/>
  <c r="O234" i="11"/>
  <c r="C234" i="11"/>
  <c r="O233" i="11"/>
  <c r="C233" i="11"/>
  <c r="O232" i="11"/>
  <c r="C232" i="11"/>
  <c r="O231" i="11"/>
  <c r="C231" i="11"/>
  <c r="O230" i="11"/>
  <c r="C230" i="11"/>
  <c r="O229" i="11"/>
  <c r="C229" i="11"/>
  <c r="O228" i="11"/>
  <c r="C228" i="11"/>
  <c r="O227" i="11"/>
  <c r="C227" i="11"/>
  <c r="O226" i="11"/>
  <c r="C226" i="11"/>
  <c r="O225" i="11"/>
  <c r="C225" i="11"/>
  <c r="O224" i="11"/>
  <c r="C224" i="11"/>
  <c r="O223" i="11"/>
  <c r="C223" i="11"/>
  <c r="O222" i="11"/>
  <c r="C222" i="11"/>
  <c r="O221" i="11"/>
  <c r="C221" i="11"/>
  <c r="O220" i="11"/>
  <c r="C220" i="11"/>
  <c r="O219" i="11"/>
  <c r="C219" i="11"/>
  <c r="O218" i="11"/>
  <c r="C218" i="11"/>
  <c r="O217" i="11"/>
  <c r="C217" i="11"/>
  <c r="O216" i="11"/>
  <c r="C216" i="11"/>
  <c r="O215" i="11"/>
  <c r="C215" i="11"/>
  <c r="O214" i="11"/>
  <c r="C214" i="11"/>
  <c r="O213" i="11"/>
  <c r="C213" i="11"/>
  <c r="O212" i="11"/>
  <c r="C212" i="11"/>
  <c r="O211" i="11"/>
  <c r="C211" i="11"/>
  <c r="O210" i="11"/>
  <c r="C210" i="11"/>
  <c r="O209" i="11"/>
  <c r="C209" i="11"/>
  <c r="O208" i="11"/>
  <c r="C208" i="11"/>
  <c r="O207" i="11"/>
  <c r="C207" i="11"/>
  <c r="O206" i="11"/>
  <c r="C206" i="11"/>
  <c r="O205" i="11"/>
  <c r="C205" i="11"/>
  <c r="O204" i="11"/>
  <c r="C204" i="11"/>
  <c r="O203" i="11"/>
  <c r="C203" i="11"/>
  <c r="O202" i="11"/>
  <c r="C202" i="11"/>
  <c r="O201" i="11"/>
  <c r="C201" i="11"/>
  <c r="O199" i="11"/>
  <c r="C199" i="11"/>
  <c r="O198" i="11"/>
  <c r="C198" i="11"/>
  <c r="O196" i="11"/>
  <c r="C196" i="11"/>
  <c r="O195" i="11"/>
  <c r="C195" i="11"/>
  <c r="O194" i="11"/>
  <c r="C194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G8" i="1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E3" i="11"/>
  <c r="H1" i="11"/>
</calcChain>
</file>

<file path=xl/comments1.xml><?xml version="1.0" encoding="utf-8"?>
<comments xmlns="http://schemas.openxmlformats.org/spreadsheetml/2006/main">
  <authors>
    <author>informatica</author>
  </authors>
  <commentList>
    <comment ref="J1" authorId="0" shapeId="0">
      <text>
        <r>
          <rPr>
            <b/>
            <sz val="12"/>
            <color indexed="81"/>
            <rFont val="Arial"/>
            <family val="2"/>
          </rPr>
          <t xml:space="preserve">AJUDA:
CTRL+SHIFT+L 
</t>
        </r>
        <r>
          <rPr>
            <sz val="12"/>
            <color indexed="81"/>
            <rFont val="Arial"/>
            <family val="2"/>
          </rPr>
          <t xml:space="preserve">Abre a janela de Lançamentos
</t>
        </r>
        <r>
          <rPr>
            <b/>
            <sz val="12"/>
            <color indexed="81"/>
            <rFont val="Arial"/>
            <family val="2"/>
          </rPr>
          <t xml:space="preserve">
CTRL+SHIFT+P</t>
        </r>
        <r>
          <rPr>
            <sz val="12"/>
            <color indexed="81"/>
            <rFont val="Arial"/>
            <family val="2"/>
          </rPr>
          <t xml:space="preserve">
Abre a Janela de Pesquisa do PL CONTAS
</t>
        </r>
        <r>
          <rPr>
            <b/>
            <sz val="12"/>
            <color indexed="81"/>
            <rFont val="Arial"/>
            <family val="2"/>
          </rPr>
          <t xml:space="preserve">
CTRL+SHIFT+M</t>
        </r>
        <r>
          <rPr>
            <sz val="12"/>
            <color indexed="81"/>
            <rFont val="Arial"/>
            <family val="2"/>
          </rPr>
          <t xml:space="preserve">
Muda a origem do LANCAMENTO</t>
        </r>
      </text>
    </comment>
  </commentList>
</comments>
</file>

<file path=xl/sharedStrings.xml><?xml version="1.0" encoding="utf-8"?>
<sst xmlns="http://schemas.openxmlformats.org/spreadsheetml/2006/main" count="5713" uniqueCount="2252">
  <si>
    <t>Débito</t>
  </si>
  <si>
    <t>Crédito</t>
  </si>
  <si>
    <t>Valor</t>
  </si>
  <si>
    <t>Histórico</t>
  </si>
  <si>
    <t>Complemento</t>
  </si>
  <si>
    <t>NF</t>
  </si>
  <si>
    <t>FORNECEDORES</t>
  </si>
  <si>
    <t>Condição</t>
  </si>
  <si>
    <t>Banco:</t>
  </si>
  <si>
    <t>Cód Historico</t>
  </si>
  <si>
    <t>*Preenchimento Automático</t>
  </si>
  <si>
    <t>CONTA</t>
  </si>
  <si>
    <t>DESCRIÇÃO</t>
  </si>
  <si>
    <t>Saldo</t>
  </si>
  <si>
    <t>Saldo Inicial:</t>
  </si>
  <si>
    <t>Conta</t>
  </si>
  <si>
    <t>Empresa:</t>
  </si>
  <si>
    <t>CNPJ:</t>
  </si>
  <si>
    <t>Período:</t>
  </si>
  <si>
    <t>BALANCETE</t>
  </si>
  <si>
    <t>Código</t>
  </si>
  <si>
    <t>FORNECEDORES DIVERSOS</t>
  </si>
  <si>
    <t>CLASSIFICAÇÃO</t>
  </si>
  <si>
    <t>PAGAMENTO</t>
  </si>
  <si>
    <t>RECEBIMENTO</t>
  </si>
  <si>
    <t>tipos</t>
  </si>
  <si>
    <t>pagtos</t>
  </si>
  <si>
    <t>SIMPLES NACIONAL</t>
  </si>
  <si>
    <t>GPS</t>
  </si>
  <si>
    <t>FGTS</t>
  </si>
  <si>
    <t>TELEFONE</t>
  </si>
  <si>
    <t>CONTA ÁGUA</t>
  </si>
  <si>
    <t>CONTA LUZ</t>
  </si>
  <si>
    <t>CONVÊNIO</t>
  </si>
  <si>
    <t>ISSQN</t>
  </si>
  <si>
    <t>CONTABILIDADE</t>
  </si>
  <si>
    <t>DARF IR</t>
  </si>
  <si>
    <t>DARF ALUGUEL</t>
  </si>
  <si>
    <t>ALUGUEL</t>
  </si>
  <si>
    <t>TITULO BANCARIO</t>
  </si>
  <si>
    <t>TARIFA DE CONTA CORRENTE</t>
  </si>
  <si>
    <t>CAPITALIZAÇÃO</t>
  </si>
  <si>
    <t>SISPAG</t>
  </si>
  <si>
    <t>Saldo Atual</t>
  </si>
  <si>
    <t>Periodo:</t>
  </si>
  <si>
    <t>CLIENTE</t>
  </si>
  <si>
    <t>FORNECEDOR</t>
  </si>
  <si>
    <t>DARF</t>
  </si>
  <si>
    <t>DARF PIS</t>
  </si>
  <si>
    <t>DARF COFINS</t>
  </si>
  <si>
    <t>ATIVO</t>
  </si>
  <si>
    <t>ATIVO CIRCULANTE</t>
  </si>
  <si>
    <t>DISPONÍVEL</t>
  </si>
  <si>
    <t>CAIXA</t>
  </si>
  <si>
    <t>CAIXA GERAL</t>
  </si>
  <si>
    <t>BANCOS CONTA MOVIMENTO</t>
  </si>
  <si>
    <t>BANCO SANTANDER S/A.</t>
  </si>
  <si>
    <t>CLIENTES</t>
  </si>
  <si>
    <t>DUPLICATAS A RECEBER</t>
  </si>
  <si>
    <t>CLIENTES DIVERSOS</t>
  </si>
  <si>
    <t>(-) DUPLICATAS DESCONTADAS</t>
  </si>
  <si>
    <t>OUTROS CRÉDITOS</t>
  </si>
  <si>
    <t>TRIBUTOS A RECUPERAR/COMPENSAR</t>
  </si>
  <si>
    <t>ICMS A RECUPERAR</t>
  </si>
  <si>
    <t>ISS A RECUPERAR</t>
  </si>
  <si>
    <t>ESTOQUE</t>
  </si>
  <si>
    <t>ESTOQUES DE MERCADORIAS</t>
  </si>
  <si>
    <t>MERCADORIAS PARA REVENDA</t>
  </si>
  <si>
    <t>DESPESAS PAGAS ANTECIPADAMENTE</t>
  </si>
  <si>
    <t>DESPESAS DE MESES SEGUINTES</t>
  </si>
  <si>
    <t>PRÊMIOS DE SEGUROS A APROPRIAR</t>
  </si>
  <si>
    <t>ATIVO NÃO-CIRCULANTE</t>
  </si>
  <si>
    <t>INVESTIMENTOS</t>
  </si>
  <si>
    <t>IMOBILIZADO</t>
  </si>
  <si>
    <t>IMÓVEIS</t>
  </si>
  <si>
    <t>BENS MÓVEIS</t>
  </si>
  <si>
    <t>VEICULOS</t>
  </si>
  <si>
    <t>(-) DEPRECIAÇÕES, AMORT. E EXAUS. ACUMUL</t>
  </si>
  <si>
    <t>INTANGÍVEL</t>
  </si>
  <si>
    <t>PASSIVO</t>
  </si>
  <si>
    <t>PASSIVO CIRCULANTE</t>
  </si>
  <si>
    <t>EMPRÉSTIMOS E FINANCIAMENTOS</t>
  </si>
  <si>
    <t>FINANCIAMENTOS - SIST. FINANCEIRO NACIONAL</t>
  </si>
  <si>
    <t>(-) ENCARGOS FINANCEIROS - BANCO DO BRASIL S/A.</t>
  </si>
  <si>
    <t>(-) ENCARGOS FINANCEIROS - BANCO BRADESCO S/A.</t>
  </si>
  <si>
    <t>(-) ENCARGOS FINANCEIROS - BANCO ITAU UNIBANCO S/A.</t>
  </si>
  <si>
    <t>(-) ENCARGOS FINANCEIROS - BANCO SANTANDER S/A.</t>
  </si>
  <si>
    <t>(-) ENCARGOS FINANCEIROS - BANCO HSBC S/A.</t>
  </si>
  <si>
    <t>(-) ENCARGOS FINANCEIROS - BANCO SAFRA S/A.</t>
  </si>
  <si>
    <t>(-) ENCARGOS FINANCEIROS - CAIXA ECONOMICA FEDERAL</t>
  </si>
  <si>
    <t>(-) ENCARGOS FINANCEIROS - UNICRED COOPERATIVA DE CREDITO</t>
  </si>
  <si>
    <t>(-) ENCARGOS FINANCEIROS - BANCO CITIBANK S/A.</t>
  </si>
  <si>
    <t>(-) ENCARGOS FINANCEIROS - BANCO SOFISA S/A.</t>
  </si>
  <si>
    <t>OBRIGAÇÕES TRIBUTÁRIAS</t>
  </si>
  <si>
    <t>IMPOSTOS E CONTRIBUIÇÕES A RECOLHER</t>
  </si>
  <si>
    <t>SIMPLES NACIONAL  A RECOLHER</t>
  </si>
  <si>
    <t>PIS/COFINS/CSLL A RECOLHER</t>
  </si>
  <si>
    <t>ICMS SUBSTITUIÇÃO TRIBUTARIA</t>
  </si>
  <si>
    <t>CONTRIBUIÇÃO SINDICAL A RECOLHER</t>
  </si>
  <si>
    <t>CONTRIBUIÇÃO ASSISTENCIAL A RECOLHER</t>
  </si>
  <si>
    <t>IMPOSTO DE RENDA RETIDO NA FONTE - ALUGUEIS</t>
  </si>
  <si>
    <t>IMPOSTO DE RENDA RETIDO NA FONTE - FOLHA DE PAGTO.</t>
  </si>
  <si>
    <t>OBRIGAÇÕES TRABALHISTAS E PREVIDENCIÁRIAS</t>
  </si>
  <si>
    <t>OBRIGAÇÕES COM O PESSOAL</t>
  </si>
  <si>
    <t>SALARIOS E ORDENADOS</t>
  </si>
  <si>
    <t>PENSÃO ALIMENTICIA A PAGAR</t>
  </si>
  <si>
    <t>OBRIGAÇÕES SOCIAIS</t>
  </si>
  <si>
    <t>INSS A RECOLHER</t>
  </si>
  <si>
    <t>FGTS A RECOLHER</t>
  </si>
  <si>
    <t>OUTRAS OBRIGAÇÕES</t>
  </si>
  <si>
    <t>CONTAS A PAGAR</t>
  </si>
  <si>
    <t>HONORÁRIOS CONTÁBEIS</t>
  </si>
  <si>
    <t>ALUGUEIS A PAGAR</t>
  </si>
  <si>
    <t>SERVIÇOS DE TERCEIROS A PAGAR</t>
  </si>
  <si>
    <t>FRETES A PAGAR</t>
  </si>
  <si>
    <t>(-) ENCARGO FINANCEIRO - SIMPLES NACIONAL</t>
  </si>
  <si>
    <t>(-) ENCARGOS FINANCEIROS BANCO ITAU UNIBANCO S/A.</t>
  </si>
  <si>
    <t>(-) ENCARGOS FINANCEIROS - IRPJ</t>
  </si>
  <si>
    <t>(-) ENCARGOS FINANCEIROS - CSLL</t>
  </si>
  <si>
    <t>(-) ENCARGOS FINANCEIROS - PIS</t>
  </si>
  <si>
    <t>(-) ENCARGOS FINANCEIROS - COFINS</t>
  </si>
  <si>
    <t>(-) ENCARGOS FINANCEIROS - IPI</t>
  </si>
  <si>
    <t>(-) ENCARGOS FINANCEIROS - SIMPLES NACIONAL</t>
  </si>
  <si>
    <t>PATRIMÔNIO LÍQUIDO</t>
  </si>
  <si>
    <t>CAPITAL SOCIAL</t>
  </si>
  <si>
    <t>CAPITAL SUBSCRITO</t>
  </si>
  <si>
    <t>RESERVAS DE LUCROS</t>
  </si>
  <si>
    <t>RESERVA DE LUCROS A REALIZAR</t>
  </si>
  <si>
    <t>LUCROS OU PREJUÍZOS ACUMULADOS</t>
  </si>
  <si>
    <t>RESULTADO DO EXERCÍCIO EM CURSO</t>
  </si>
  <si>
    <t>CONTAS DE RESULTADO - RECEITAS</t>
  </si>
  <si>
    <t>RECEITAS OPERACIONAIS</t>
  </si>
  <si>
    <t>RECEITA BRUTA DE VENDAS E SERVIÇOS</t>
  </si>
  <si>
    <t>RECEITA BRUTAS DE VENDAS E MERCADORIAS</t>
  </si>
  <si>
    <t>VENDA DE MERCADORIAS</t>
  </si>
  <si>
    <t>(-) DEDUÇÕES DA RECEITA BRUTA</t>
  </si>
  <si>
    <t>(-) CANCELAMENTO E DEVOLUÇÕES</t>
  </si>
  <si>
    <t>(-) DEVOLUÇÃO DE VENDA DE MERCADORIAS</t>
  </si>
  <si>
    <t>(-) IMPOSTOS SOBRE VENDAS E SERVIÇOS</t>
  </si>
  <si>
    <t>(-) ISS</t>
  </si>
  <si>
    <t>(-) SIMPLES NACIONAL</t>
  </si>
  <si>
    <t>OUTRAS RECEITAS OPERACIONAIS</t>
  </si>
  <si>
    <t>RECEITAS DIVERSAS</t>
  </si>
  <si>
    <t>RECEITA COM BONIFICAÇÕES</t>
  </si>
  <si>
    <t>CONTAS DE RESULTADOS - CUSTOS E DESPESAS</t>
  </si>
  <si>
    <t>DESPESAS OPERACIONAIS</t>
  </si>
  <si>
    <t>DESPESAS OPERACIONAIS DAS ATIVIDADES EM GERAL</t>
  </si>
  <si>
    <t>DESPESAS COM PESSOAL</t>
  </si>
  <si>
    <t>DESPESAS ADMINISTRATIVAS</t>
  </si>
  <si>
    <t>DESPESAS COM CARTÓRIO</t>
  </si>
  <si>
    <t>SERVIÇOS PRESTADOS PESSOA JURIDICA</t>
  </si>
  <si>
    <t>DESPESAS COM MATERIAL DE LIMPEZA</t>
  </si>
  <si>
    <t>DESPESAS COM COPA</t>
  </si>
  <si>
    <t>COMBUSTIVEIS E LUBRIFICANTES</t>
  </si>
  <si>
    <t>DESPESAS COM CONDUÇÃO</t>
  </si>
  <si>
    <t>COMISSÕES</t>
  </si>
  <si>
    <t>HONORÁRIOS PROFISSIONAIS</t>
  </si>
  <si>
    <t>DESPESAS COM PEDÁGIO</t>
  </si>
  <si>
    <t>MATERIAL DE CONSUMO</t>
  </si>
  <si>
    <t>DESPESAS COM INSTRUÇÃO</t>
  </si>
  <si>
    <t>DESPESAS COM LIVROS</t>
  </si>
  <si>
    <t>DESPESAS BANCARIAS</t>
  </si>
  <si>
    <t>(-) MÓVEIS, UTENSILIOS E INSTALÇAOES COMERCIAIS</t>
  </si>
  <si>
    <t>(-) VEÍCULOS</t>
  </si>
  <si>
    <t>OUTRAS IMOBILIZAÇÕES EM ANDAMENTO</t>
  </si>
  <si>
    <t>MELTING PRODUTOS PARA MANUTENCAO INDUSTR</t>
  </si>
  <si>
    <t>ELETRICA MARVAL LTDA</t>
  </si>
  <si>
    <t>NOVA SAO FELIPE FERRAGENS LTDA</t>
  </si>
  <si>
    <t>COM. DE FERRAMENTAS TERUYA LTDA</t>
  </si>
  <si>
    <t>PAULISTA COMERCIO DE POLIAS LTDA</t>
  </si>
  <si>
    <t>GUARUPAR COMERCIO DE PARAFUSOS LTDA - EP</t>
  </si>
  <si>
    <t>O.V.D. IMPORTADORA E DISTRIBUIDORA LTDA</t>
  </si>
  <si>
    <t>IMPORTADORA DE CORRENTES DUOMO LTDA.</t>
  </si>
  <si>
    <t>COMERCIO DE TINTAS MACHADO LTDA-TM01</t>
  </si>
  <si>
    <t>RD FLEX INDUSTRIAL LTDA</t>
  </si>
  <si>
    <t>VISAO COM DE ROLAMENTOS E EQUIP IND LTDA</t>
  </si>
  <si>
    <t>BRASTRELA IMPORTACAO E EXPORTACAO LTDA</t>
  </si>
  <si>
    <t>BORMAX CORREIAS E MANGUEIRAS IND. LTDA</t>
  </si>
  <si>
    <t>1</t>
  </si>
  <si>
    <t>1.1</t>
  </si>
  <si>
    <t>1.1.1</t>
  </si>
  <si>
    <t>1.1.1.01</t>
  </si>
  <si>
    <t>1.1.1.01.001</t>
  </si>
  <si>
    <t>1.1.1.02</t>
  </si>
  <si>
    <t>1.1.1.02.001</t>
  </si>
  <si>
    <t>BANCO DO BRASIL S/A.</t>
  </si>
  <si>
    <t>1.1.1.02.002</t>
  </si>
  <si>
    <t>BANCO BRADESCO S/A.</t>
  </si>
  <si>
    <t>1.1.1.02.003</t>
  </si>
  <si>
    <t>BANCO ITAU UNIBANCO S/A.</t>
  </si>
  <si>
    <t>1.1.1.02.004</t>
  </si>
  <si>
    <t>1.1.1.02.006</t>
  </si>
  <si>
    <t>BANCO SAFRA S/A.</t>
  </si>
  <si>
    <t>1.1.1.03</t>
  </si>
  <si>
    <t>APLICAÇÕES FINANCEIRAS LIQUIDEZ IMEDIATA</t>
  </si>
  <si>
    <t>1.1.1.03.003</t>
  </si>
  <si>
    <t>1.1.1.03.005</t>
  </si>
  <si>
    <t>1.1.1.03.006</t>
  </si>
  <si>
    <t>(-) BANCO ITAU UNIBANCO S/A.</t>
  </si>
  <si>
    <t>1.1.1.03.007</t>
  </si>
  <si>
    <t>1.1.1.03.011</t>
  </si>
  <si>
    <t>1.1.2</t>
  </si>
  <si>
    <t>1.1.2.01</t>
  </si>
  <si>
    <t>1.1.2.01.001</t>
  </si>
  <si>
    <t>1.1.3</t>
  </si>
  <si>
    <t>1.1.3.03</t>
  </si>
  <si>
    <t>CHEQUES EM COBRANÇA</t>
  </si>
  <si>
    <t>1.1.3.05</t>
  </si>
  <si>
    <t>ADIANTAMENTOS A FORNECEDORES</t>
  </si>
  <si>
    <t>1.1.3.05.001</t>
  </si>
  <si>
    <t>1.1.3.06</t>
  </si>
  <si>
    <t>ADIANTAMENTO A EMPREGADOS</t>
  </si>
  <si>
    <t>1.1.3.06.001</t>
  </si>
  <si>
    <t>ANTECIPAÇÃO SALARIAL</t>
  </si>
  <si>
    <t>1.1.3.06.002</t>
  </si>
  <si>
    <t>ADIANTAMENTO DE FERIAS</t>
  </si>
  <si>
    <t>1.1.3.08</t>
  </si>
  <si>
    <t>1.1.3.08.002</t>
  </si>
  <si>
    <t>1.1.3.08.016</t>
  </si>
  <si>
    <t>1.1.3.08.018</t>
  </si>
  <si>
    <t>I.R.R.F. S/ APLICAÇÕES</t>
  </si>
  <si>
    <t>1.1.5</t>
  </si>
  <si>
    <t>1.1.5.01</t>
  </si>
  <si>
    <t>1.1.6</t>
  </si>
  <si>
    <t>1.1.6.01</t>
  </si>
  <si>
    <t>1.1.6.01.001</t>
  </si>
  <si>
    <t>1.1.6.02</t>
  </si>
  <si>
    <t>DEPOSITOS JUDICIAIS</t>
  </si>
  <si>
    <t>1.1.6.02.001</t>
  </si>
  <si>
    <t>TRABALHISTAS</t>
  </si>
  <si>
    <t>1.2</t>
  </si>
  <si>
    <t>1.2.1</t>
  </si>
  <si>
    <t>1.2.1.02</t>
  </si>
  <si>
    <t>1.2.1.02.003</t>
  </si>
  <si>
    <t>1.2.1.02.003.001</t>
  </si>
  <si>
    <t>RECAPAGEM DE PNEUS ANDRADE</t>
  </si>
  <si>
    <t>1.2.3</t>
  </si>
  <si>
    <t>1.2.3.01</t>
  </si>
  <si>
    <t>1.2.3.01.005</t>
  </si>
  <si>
    <t>BENFEITORIAS EM IMOVEIS DE TERCEIROS</t>
  </si>
  <si>
    <t>1.2.3.02</t>
  </si>
  <si>
    <t>1.2.3.02.000.8</t>
  </si>
  <si>
    <t>1.2.3.02.001</t>
  </si>
  <si>
    <t>MAQUINAS, EQUIPAMENTOS E INSTALAÇÕES INDUSTRIAIS</t>
  </si>
  <si>
    <t>1.2.3.02.002</t>
  </si>
  <si>
    <t>MÓVEIS, UTENSILIOS E INSTALÇOES COMERCIAIS</t>
  </si>
  <si>
    <t>1.2.3.02.003</t>
  </si>
  <si>
    <t>1.2.3.02.004</t>
  </si>
  <si>
    <t>CENTRO DE PROCESSAMENTO DE DADOS</t>
  </si>
  <si>
    <t>1.2.3.02.006</t>
  </si>
  <si>
    <t>TELEFONIA</t>
  </si>
  <si>
    <t>1.2.3.02.007</t>
  </si>
  <si>
    <t>INSTALAÇÕES</t>
  </si>
  <si>
    <t>EQUIPAMENTOS</t>
  </si>
  <si>
    <t>EQUIPAMENTOS DE SEGURANÇA</t>
  </si>
  <si>
    <t>1.2.3.07</t>
  </si>
  <si>
    <t>1.2.3.07.002</t>
  </si>
  <si>
    <t>(-) BENFEITORIAS EM IMOVEIS DE TERCEIROS</t>
  </si>
  <si>
    <t>1.2.3.07.003</t>
  </si>
  <si>
    <t>(-) MAQUINAS, EQUIPAMENTOS E INSTALÇOES INDUSTRIAIS</t>
  </si>
  <si>
    <t>1.2.3.07.004</t>
  </si>
  <si>
    <t>1.2.3.07.005</t>
  </si>
  <si>
    <t>1.2.3.07.006</t>
  </si>
  <si>
    <t>1.2.3.07.008</t>
  </si>
  <si>
    <t>(-) INSTALAÇÕES</t>
  </si>
  <si>
    <t>1.2.3.07.009</t>
  </si>
  <si>
    <t>(-) FERRAMENTAS E ACESSÓRIOS</t>
  </si>
  <si>
    <t>(-) TELEFONIA</t>
  </si>
  <si>
    <t>1.2.4</t>
  </si>
  <si>
    <t>1.2.4.01</t>
  </si>
  <si>
    <t>ATIVOS INTANGIVEIS</t>
  </si>
  <si>
    <t>1.2.4.01.002</t>
  </si>
  <si>
    <t>MARCAS E PATENTES</t>
  </si>
  <si>
    <t>1.2.4.01.005</t>
  </si>
  <si>
    <t>SISTEMAS APLIC. SOFTWARE OU PROGRAMAS</t>
  </si>
  <si>
    <t>1.2.4.02</t>
  </si>
  <si>
    <t>(-) AMORTIZAÇÃO DO INTANGIVEL</t>
  </si>
  <si>
    <t>1.2.4.02.001</t>
  </si>
  <si>
    <t>SISTEMAS APLIC. SOFTWARE</t>
  </si>
  <si>
    <t>1.2.4.02.002</t>
  </si>
  <si>
    <t>2</t>
  </si>
  <si>
    <t>2.1</t>
  </si>
  <si>
    <t>2.1.1</t>
  </si>
  <si>
    <t>2.1.1.01</t>
  </si>
  <si>
    <t>2.1.1.01.001</t>
  </si>
  <si>
    <t>2.1.1.02</t>
  </si>
  <si>
    <t>2.1.1.02.001</t>
  </si>
  <si>
    <t>2.1.2</t>
  </si>
  <si>
    <t>2.1.2.01</t>
  </si>
  <si>
    <t>2.1.2.01.003</t>
  </si>
  <si>
    <t>2.1.4</t>
  </si>
  <si>
    <t>2.1.4.01</t>
  </si>
  <si>
    <t>2.1.4.01.001</t>
  </si>
  <si>
    <t xml:space="preserve">ICMS A RECOLHER </t>
  </si>
  <si>
    <t>2.1.4.01.017</t>
  </si>
  <si>
    <t>PIS A RECOLHER</t>
  </si>
  <si>
    <t>2.1.4.01.018</t>
  </si>
  <si>
    <t>COFINS A RECOLHER</t>
  </si>
  <si>
    <t>2.1.4.01.019</t>
  </si>
  <si>
    <t>ISS A RECOLHER</t>
  </si>
  <si>
    <t>2.1.4.01.020</t>
  </si>
  <si>
    <t>PROVISÃO PARA CSLL</t>
  </si>
  <si>
    <t>2.1.4.01.021</t>
  </si>
  <si>
    <t>PROVISAO PARA IRPJ</t>
  </si>
  <si>
    <t>2.1.4.01.023</t>
  </si>
  <si>
    <t>IMPOSTO DE RENDA RETIDO NA FONTE - TERCEIROS</t>
  </si>
  <si>
    <t>2.1.4.01.024</t>
  </si>
  <si>
    <t>2.1.4.01.033</t>
  </si>
  <si>
    <t>2.1.4.01.035</t>
  </si>
  <si>
    <t>2.1.5</t>
  </si>
  <si>
    <t>2.1.5.01</t>
  </si>
  <si>
    <t>2.1.5.01.002</t>
  </si>
  <si>
    <t>2.1.5.01.004</t>
  </si>
  <si>
    <t>RESCISÕES A PAGAR</t>
  </si>
  <si>
    <t>2.1.5.02</t>
  </si>
  <si>
    <t>2.1.5.02.001</t>
  </si>
  <si>
    <t>2.1.5.02.002</t>
  </si>
  <si>
    <t>2.1.5.03</t>
  </si>
  <si>
    <t>PROVISÕES</t>
  </si>
  <si>
    <t>2.1.5.03.001</t>
  </si>
  <si>
    <t>2.1.5.03.002</t>
  </si>
  <si>
    <t>2.1.5.03.003</t>
  </si>
  <si>
    <t>2.1.5.03.004</t>
  </si>
  <si>
    <t>2.1.5.03.005</t>
  </si>
  <si>
    <t>2.1.5.03.006</t>
  </si>
  <si>
    <t>2.1.6</t>
  </si>
  <si>
    <t>2.1.6.02</t>
  </si>
  <si>
    <t>2.1.6.02.001</t>
  </si>
  <si>
    <t>2.1.6.02.002</t>
  </si>
  <si>
    <t>2.1.6.02.004</t>
  </si>
  <si>
    <t>2.1.6.02.005</t>
  </si>
  <si>
    <t>SEGUROS A PAGAR</t>
  </si>
  <si>
    <t>2.1.6.02.006</t>
  </si>
  <si>
    <t>2.1.6.02.007</t>
  </si>
  <si>
    <t>2.2</t>
  </si>
  <si>
    <t>PASSIVO NÃO-CIRCULANTE</t>
  </si>
  <si>
    <t>2.2.1</t>
  </si>
  <si>
    <t>PASSIVO EXIGÍVEL A LONGO PRAZO</t>
  </si>
  <si>
    <t>2.2.1.01</t>
  </si>
  <si>
    <t>2.2.1.01.001</t>
  </si>
  <si>
    <t>EMPRÉSTIMOS</t>
  </si>
  <si>
    <t>2.2.1.01.001.0021</t>
  </si>
  <si>
    <t>2.3</t>
  </si>
  <si>
    <t>2.3.1</t>
  </si>
  <si>
    <t>2.3.1.02</t>
  </si>
  <si>
    <t>(-) CAPITAL A INTEGRALIZAR</t>
  </si>
  <si>
    <t>2.3.1.02.001</t>
  </si>
  <si>
    <t>CAPITAL A INTEGRALIZAR</t>
  </si>
  <si>
    <t>2.3.4</t>
  </si>
  <si>
    <t>2.3.4.03</t>
  </si>
  <si>
    <t>2.3.4.04</t>
  </si>
  <si>
    <t>2.3.4.06</t>
  </si>
  <si>
    <t>RESERVA LEGAL</t>
  </si>
  <si>
    <t>2.3.5</t>
  </si>
  <si>
    <t>2.3.5.01</t>
  </si>
  <si>
    <t>2.3.5.01.003</t>
  </si>
  <si>
    <t>2.3.9</t>
  </si>
  <si>
    <t>CONTAS DE COMPENSAÇÃO</t>
  </si>
  <si>
    <t>2.3.9.01</t>
  </si>
  <si>
    <t>2.3.9.01.001</t>
  </si>
  <si>
    <t>BENS EM COMODATO</t>
  </si>
  <si>
    <t>3</t>
  </si>
  <si>
    <t>3.1</t>
  </si>
  <si>
    <t>3.1.2</t>
  </si>
  <si>
    <t>3.1.2.01</t>
  </si>
  <si>
    <t>3.1.2.01.009</t>
  </si>
  <si>
    <t>ICMS OUTROS</t>
  </si>
  <si>
    <t>3.1.2.03</t>
  </si>
  <si>
    <t>3.1.2.03.004</t>
  </si>
  <si>
    <t>(-) COFINS</t>
  </si>
  <si>
    <t>3.1.3</t>
  </si>
  <si>
    <t>RECEITAS FINANCEIRAS</t>
  </si>
  <si>
    <t>3.1.3.01</t>
  </si>
  <si>
    <t>JUROS E DESCONTOS</t>
  </si>
  <si>
    <t>JUROS ATIVOS</t>
  </si>
  <si>
    <t>3.1.3.01.003</t>
  </si>
  <si>
    <t>DESCONTOS FINANCEIROS OBTIDOS</t>
  </si>
  <si>
    <t>3.1.3.01.006</t>
  </si>
  <si>
    <t>3.1.5</t>
  </si>
  <si>
    <t>3.1.5.01</t>
  </si>
  <si>
    <t>3.1.5.01.006</t>
  </si>
  <si>
    <t>DESCONTOS CONCEDIDOS</t>
  </si>
  <si>
    <t>3.1.5.01.008</t>
  </si>
  <si>
    <t>DESPESAS RECUPERADAS</t>
  </si>
  <si>
    <t>4</t>
  </si>
  <si>
    <t>4.1</t>
  </si>
  <si>
    <t>CUSTOS</t>
  </si>
  <si>
    <t>4.1.2</t>
  </si>
  <si>
    <t>4.1.3</t>
  </si>
  <si>
    <t>CUSTOS DIRETOS DA PRODUÇÃO DE SERVIÇOS</t>
  </si>
  <si>
    <t>4.1.3.01</t>
  </si>
  <si>
    <t>4.1.3.01.001</t>
  </si>
  <si>
    <t>PRÓ-LABORE</t>
  </si>
  <si>
    <t>4.1.3.01.002</t>
  </si>
  <si>
    <t>4.1.3.01.006</t>
  </si>
  <si>
    <t>4.1.3.01.007</t>
  </si>
  <si>
    <t>4.1.3.02</t>
  </si>
  <si>
    <t>4.1.3.02.010</t>
  </si>
  <si>
    <t>SERVIÇOS PRESTADOS - PJ</t>
  </si>
  <si>
    <t>4.1.3.02.011</t>
  </si>
  <si>
    <t>DESPESAS COM VEICULOS</t>
  </si>
  <si>
    <t>INSS</t>
  </si>
  <si>
    <t>PROGRAMA DE VALE TRANSPORTE</t>
  </si>
  <si>
    <t>PROGRAMA DE ALIMENTAÇÃO DO TRABALHADOR</t>
  </si>
  <si>
    <t>AVISO PRÉVIO</t>
  </si>
  <si>
    <t>ENERGIA ELÉTRICA</t>
  </si>
  <si>
    <t>4.2</t>
  </si>
  <si>
    <t>4.2.1</t>
  </si>
  <si>
    <t>4.2.1.02</t>
  </si>
  <si>
    <t>4.2.1.02.006</t>
  </si>
  <si>
    <t>MULTAS</t>
  </si>
  <si>
    <t>4.2.1.02.009</t>
  </si>
  <si>
    <t>DESPESAS COM REFEIÇÕES</t>
  </si>
  <si>
    <t>4.2.1.02.013</t>
  </si>
  <si>
    <t>DESPESAS COM VIAGENS E ESTADIAS</t>
  </si>
  <si>
    <t>4.2.1.02.016</t>
  </si>
  <si>
    <t>DESPESAS COM INFORMATICA</t>
  </si>
  <si>
    <t>4.2.1.02.025</t>
  </si>
  <si>
    <t>MATERIAL DE ESCRITORIO</t>
  </si>
  <si>
    <t>4.2.1.02.026</t>
  </si>
  <si>
    <t>4.2.1.02.031</t>
  </si>
  <si>
    <t>4.2.1.02.032</t>
  </si>
  <si>
    <t>4.2.1.02.034</t>
  </si>
  <si>
    <t>PREMIOS DE SEGUROS</t>
  </si>
  <si>
    <t>4.2.1.02.041</t>
  </si>
  <si>
    <t>HOSPEDAGEM DE SITE</t>
  </si>
  <si>
    <t>4.2.1.02.043</t>
  </si>
  <si>
    <t>CUSTAS PROCESSUAIS</t>
  </si>
  <si>
    <t>4.2.1.03</t>
  </si>
  <si>
    <t>DEPRECIAÇÕES</t>
  </si>
  <si>
    <t>DEPRECIAÇÃO MÓVEIS E UTENSÍLIOS</t>
  </si>
  <si>
    <t>4.2.1.03.002</t>
  </si>
  <si>
    <t>4.2.1.03.003</t>
  </si>
  <si>
    <t>4.2.1.03.004</t>
  </si>
  <si>
    <t>DEPRECIAÇÃO INSTALAÇÕES GERAIS</t>
  </si>
  <si>
    <t>4.2.1.03.006</t>
  </si>
  <si>
    <t>DEPRECIAÇÃO TELEFONIA</t>
  </si>
  <si>
    <t>4.2.1.03.007</t>
  </si>
  <si>
    <t>DEPRECIAÇÃO MARCAS E PATENTES</t>
  </si>
  <si>
    <t>4.2.1.03.008</t>
  </si>
  <si>
    <t>DEPRECIAÇÃO VEICULOS</t>
  </si>
  <si>
    <t>4.2.1.03.011</t>
  </si>
  <si>
    <t>DEPRECIAÇÃO MÁQUINAS E EQUIPAMENTOS</t>
  </si>
  <si>
    <t>DEPRECIAÇÃO MOLDES E MATRIZES</t>
  </si>
  <si>
    <t>DEPRECIAÇÃO FERRAMENTAL</t>
  </si>
  <si>
    <t>4.2.1.04</t>
  </si>
  <si>
    <t>4.2.1.04.001</t>
  </si>
  <si>
    <t>4.2.1.04.002</t>
  </si>
  <si>
    <t>CONSERVAÇÃO E REPAROS</t>
  </si>
  <si>
    <t>4.2.1.04.003</t>
  </si>
  <si>
    <t>4.2.1.04.004</t>
  </si>
  <si>
    <t>4.2.1.04.005</t>
  </si>
  <si>
    <t>4.2.1.04.007</t>
  </si>
  <si>
    <t>4.2.1.04.008</t>
  </si>
  <si>
    <t>LANCHES E REFEIÇÕES</t>
  </si>
  <si>
    <t>4.2.1.04.014</t>
  </si>
  <si>
    <t>4.2.1.04.016</t>
  </si>
  <si>
    <t>4.2.1.04.017</t>
  </si>
  <si>
    <t>4.2.1.04.018</t>
  </si>
  <si>
    <t>ASSOCIAÇÃO DE CLASSE</t>
  </si>
  <si>
    <t>4.2.1.05</t>
  </si>
  <si>
    <t>DESPESAS TRIBUTARIAS</t>
  </si>
  <si>
    <t>4.2.1.05.004</t>
  </si>
  <si>
    <t>IPTU</t>
  </si>
  <si>
    <t>4.2.1.05.005</t>
  </si>
  <si>
    <t>IMPOSTOS E TAXAS DIVERSAS</t>
  </si>
  <si>
    <t>CONTRIBUIÇÕES A SINDICATOS</t>
  </si>
  <si>
    <t>JUROS DE MORA</t>
  </si>
  <si>
    <t>I.S.S.Q.N</t>
  </si>
  <si>
    <t>TAXA DE PUBLICIDADE</t>
  </si>
  <si>
    <t>MULTA E JUROS</t>
  </si>
  <si>
    <t>TAXA DE CONTROLE E FISCALIZAÇÃO - IBAMA</t>
  </si>
  <si>
    <t>4.2.1.06</t>
  </si>
  <si>
    <t>DESPESAS INDEDUTIVEIS</t>
  </si>
  <si>
    <t>4.2.1.06.002</t>
  </si>
  <si>
    <t>MULTAS E INFRAÇÕES FISCAIS</t>
  </si>
  <si>
    <t>4.2.1.07</t>
  </si>
  <si>
    <t>DESPESAS FINANCEIRAS</t>
  </si>
  <si>
    <t>IOF</t>
  </si>
  <si>
    <t>1.1.1.02.005</t>
  </si>
  <si>
    <t>1.1.1.02.007</t>
  </si>
  <si>
    <t>1.1.1.02.008</t>
  </si>
  <si>
    <t>1.1.1.02.009</t>
  </si>
  <si>
    <t>1.1.1.02.010</t>
  </si>
  <si>
    <t>1.1.1.03.001</t>
  </si>
  <si>
    <t>1.1.1.03.002</t>
  </si>
  <si>
    <t>1.1.1.03.004</t>
  </si>
  <si>
    <t>1.1.1.03.008</t>
  </si>
  <si>
    <t>1.1.1.03.009</t>
  </si>
  <si>
    <t>1.1.1.03.010</t>
  </si>
  <si>
    <t>1.1.1.03.012</t>
  </si>
  <si>
    <t>1.1.1.03.013</t>
  </si>
  <si>
    <t>1.1.1.03.014</t>
  </si>
  <si>
    <t>1.1.1.03.015</t>
  </si>
  <si>
    <t>1.1.1.03.016</t>
  </si>
  <si>
    <t>1.1.1.03.017</t>
  </si>
  <si>
    <t>1.1.1.03.018</t>
  </si>
  <si>
    <t>1.1.1.03.019</t>
  </si>
  <si>
    <t>1.1.1.04</t>
  </si>
  <si>
    <t>1.1.1.04.001</t>
  </si>
  <si>
    <t>1.1.1.04.002</t>
  </si>
  <si>
    <t>1.1.1.04.003</t>
  </si>
  <si>
    <t>1.1.1.04.004</t>
  </si>
  <si>
    <t>1.1.1.04.005</t>
  </si>
  <si>
    <t>1.1.1.04.006</t>
  </si>
  <si>
    <t>1.1.1.04.007</t>
  </si>
  <si>
    <t>1.1.2.01.002</t>
  </si>
  <si>
    <t>1.1.2.02</t>
  </si>
  <si>
    <t>1.1.2.03</t>
  </si>
  <si>
    <t>1.1.3.01</t>
  </si>
  <si>
    <t>1.1.3.02</t>
  </si>
  <si>
    <t>1.1.3.04</t>
  </si>
  <si>
    <t>1.1.3.06.004</t>
  </si>
  <si>
    <t>1.1.3.06.005</t>
  </si>
  <si>
    <t>1.1.3.07</t>
  </si>
  <si>
    <t>1.1.3.08.001</t>
  </si>
  <si>
    <t>1.1.3.08.003</t>
  </si>
  <si>
    <t>1.1.3.08.004</t>
  </si>
  <si>
    <t>1.1.3.08.005</t>
  </si>
  <si>
    <t>1.1.3.08.006</t>
  </si>
  <si>
    <t>1.1.3.08.007</t>
  </si>
  <si>
    <t>1.1.3.08.008</t>
  </si>
  <si>
    <t>1.1.3.08.009</t>
  </si>
  <si>
    <t>1.1.3.08.010</t>
  </si>
  <si>
    <t>1.1.3.08.011</t>
  </si>
  <si>
    <t>1.1.3.08.012</t>
  </si>
  <si>
    <t>1.1.3.08.013</t>
  </si>
  <si>
    <t>1.1.3.08.014</t>
  </si>
  <si>
    <t>1.1.3.08.015</t>
  </si>
  <si>
    <t>1.1.3.08.017</t>
  </si>
  <si>
    <t>1.1.3.09</t>
  </si>
  <si>
    <t>1.1.3.09.001</t>
  </si>
  <si>
    <t>1.1.3.10</t>
  </si>
  <si>
    <t>1.1.3.10.001</t>
  </si>
  <si>
    <t>1.1.4</t>
  </si>
  <si>
    <t>1.1.4.01</t>
  </si>
  <si>
    <t>1.1.4.01.001</t>
  </si>
  <si>
    <t>1.1.4.03</t>
  </si>
  <si>
    <t>1.1.4.04</t>
  </si>
  <si>
    <t>1.1.4.04.001</t>
  </si>
  <si>
    <t>1.1.4.04.002</t>
  </si>
  <si>
    <t>1.1.5.01.001</t>
  </si>
  <si>
    <t>1.1.5.02</t>
  </si>
  <si>
    <t>1.1.5.02.001</t>
  </si>
  <si>
    <t>1.1.5.03</t>
  </si>
  <si>
    <t>1.1.5.03.001</t>
  </si>
  <si>
    <t>1.1.5.03.002</t>
  </si>
  <si>
    <t>1.1.5.04</t>
  </si>
  <si>
    <t>1.1.5.05</t>
  </si>
  <si>
    <t>1.1.6.01.002</t>
  </si>
  <si>
    <t>1.1.6.01.003</t>
  </si>
  <si>
    <t>1.1.6.01.004</t>
  </si>
  <si>
    <t>1.2.1.01</t>
  </si>
  <si>
    <t>1.2.1.01.001</t>
  </si>
  <si>
    <t>1.2.1.01.002</t>
  </si>
  <si>
    <t>1.2.1.01.003</t>
  </si>
  <si>
    <t>1.2.1.02.001</t>
  </si>
  <si>
    <t>1.2.1.02.002</t>
  </si>
  <si>
    <t>1.2.1.02.004</t>
  </si>
  <si>
    <t>1.2.1.02.005</t>
  </si>
  <si>
    <t>1.2.1.02.005.0001</t>
  </si>
  <si>
    <t>1.2.1.02.005.0002</t>
  </si>
  <si>
    <t>1.2.1.02.005.0003</t>
  </si>
  <si>
    <t>1.2.1.02.005.0004</t>
  </si>
  <si>
    <t>1.2.1.02.005.0005</t>
  </si>
  <si>
    <t>1.2.1.02.005.0006</t>
  </si>
  <si>
    <t>1.2.1.02.005.0007</t>
  </si>
  <si>
    <t>1.2.1.02.005.0008</t>
  </si>
  <si>
    <t>1.2.1.02.005.0009</t>
  </si>
  <si>
    <t>1.2.1.02.005.0010</t>
  </si>
  <si>
    <t>1.2.1.02.005.0011</t>
  </si>
  <si>
    <t>1.2.1.02.005.0012</t>
  </si>
  <si>
    <t>1.2.1.02.005.0013</t>
  </si>
  <si>
    <t>1.2.1.02.005.0014</t>
  </si>
  <si>
    <t>1.2.1.02.005.0015</t>
  </si>
  <si>
    <t>1.2.1.02.005.0016</t>
  </si>
  <si>
    <t>1.2.1.02.005.0017</t>
  </si>
  <si>
    <t>1.2.1.02.005.0018</t>
  </si>
  <si>
    <t>1.2.1.02.005.0019</t>
  </si>
  <si>
    <t>1.2.1.02.005.0020</t>
  </si>
  <si>
    <t>1.2.1.02.006</t>
  </si>
  <si>
    <t>1.2.1.02.006.0001</t>
  </si>
  <si>
    <t>1.2.1.02.007</t>
  </si>
  <si>
    <t>1.2.1.02.008</t>
  </si>
  <si>
    <t>1.2.1.02.009</t>
  </si>
  <si>
    <t>1.2.1.02.010</t>
  </si>
  <si>
    <t>1.2.2</t>
  </si>
  <si>
    <t>1.2.2.01</t>
  </si>
  <si>
    <t>1.2.2.01.001</t>
  </si>
  <si>
    <t>1.2.2.01.002</t>
  </si>
  <si>
    <t>1.2.2.01.003</t>
  </si>
  <si>
    <t>1.2.2.01.004</t>
  </si>
  <si>
    <t>1.2.2.01.005</t>
  </si>
  <si>
    <t>1.2.2.02</t>
  </si>
  <si>
    <t>1.2.2.03</t>
  </si>
  <si>
    <t>1.2.2.04</t>
  </si>
  <si>
    <t>1.2.2.04.001</t>
  </si>
  <si>
    <t>1.2.2.04.002</t>
  </si>
  <si>
    <t>1.2.2.05</t>
  </si>
  <si>
    <t>1.2.2.06</t>
  </si>
  <si>
    <t>1.2.2.06.001</t>
  </si>
  <si>
    <t>1.2.2.06.002</t>
  </si>
  <si>
    <t>1.2.2.07</t>
  </si>
  <si>
    <t>1.2.2.07.001</t>
  </si>
  <si>
    <t>1.2.2.07.002</t>
  </si>
  <si>
    <t>1.2.2.07.003</t>
  </si>
  <si>
    <t>1.2.2.07.004</t>
  </si>
  <si>
    <t>1.2.2.07.005</t>
  </si>
  <si>
    <t>1.2.2.07.006</t>
  </si>
  <si>
    <t>1.2.3.01.001</t>
  </si>
  <si>
    <t>1.2.3.01.002</t>
  </si>
  <si>
    <t>1.2.3.01.003</t>
  </si>
  <si>
    <t>1.2.3.01.004</t>
  </si>
  <si>
    <t>1.2.3.02.005</t>
  </si>
  <si>
    <t>1.2.3.03</t>
  </si>
  <si>
    <t>1.2.3.03.001</t>
  </si>
  <si>
    <t>1.2.3.04</t>
  </si>
  <si>
    <t>1.2.3.04.001</t>
  </si>
  <si>
    <t>1.2.3.05</t>
  </si>
  <si>
    <t>1.2.3.06</t>
  </si>
  <si>
    <t>1.2.3.07.001</t>
  </si>
  <si>
    <t>1.2.3.07.001.0</t>
  </si>
  <si>
    <t>1.2.3.07.007</t>
  </si>
  <si>
    <t>1.2.3.08</t>
  </si>
  <si>
    <t>1.2.3.08.001</t>
  </si>
  <si>
    <t>1.2.3.08.002</t>
  </si>
  <si>
    <t>1.2.3.08.003</t>
  </si>
  <si>
    <t>1.2.3.08.004</t>
  </si>
  <si>
    <t>1.2.3.08.005</t>
  </si>
  <si>
    <t>1.2.3.09</t>
  </si>
  <si>
    <t>1.2.3.09.001</t>
  </si>
  <si>
    <t>1.2.3.09.002</t>
  </si>
  <si>
    <t>1.2.3.09.003</t>
  </si>
  <si>
    <t>1.2.3.09.004</t>
  </si>
  <si>
    <t>1.2.4.01.001</t>
  </si>
  <si>
    <t>1.2.4.01.003</t>
  </si>
  <si>
    <t>1.2.4.01.004</t>
  </si>
  <si>
    <t>1.2.4.01.006</t>
  </si>
  <si>
    <t>1.2.4.03</t>
  </si>
  <si>
    <t>1.2.9</t>
  </si>
  <si>
    <t>1.2.9.01</t>
  </si>
  <si>
    <t>1.2.9.01.001</t>
  </si>
  <si>
    <t>2.1.2.01.001</t>
  </si>
  <si>
    <t>2.1.2.01.002</t>
  </si>
  <si>
    <t>2.1.2.01.004</t>
  </si>
  <si>
    <t>2.1.2.01.005</t>
  </si>
  <si>
    <t>2.1.2.01.006</t>
  </si>
  <si>
    <t>2.1.2.01.007</t>
  </si>
  <si>
    <t>2.1.2.01.009</t>
  </si>
  <si>
    <t>2.1.2.01.010</t>
  </si>
  <si>
    <t>2.1.2.01.011</t>
  </si>
  <si>
    <t>2.1.2.01.012</t>
  </si>
  <si>
    <t>2.1.2.01.013</t>
  </si>
  <si>
    <t>2.1.2.01.014</t>
  </si>
  <si>
    <t>2.1.2.01.015</t>
  </si>
  <si>
    <t>2.1.2.01.016</t>
  </si>
  <si>
    <t>2.1.2.01.017</t>
  </si>
  <si>
    <t>2.1.2.01.018</t>
  </si>
  <si>
    <t>2.1.2.01.019</t>
  </si>
  <si>
    <t>2.1.2.01.020</t>
  </si>
  <si>
    <t>2.1.2.02</t>
  </si>
  <si>
    <t>2.1.2.03</t>
  </si>
  <si>
    <t>2.1.2.03.001</t>
  </si>
  <si>
    <t>2.1.2.03.002</t>
  </si>
  <si>
    <t>2.1.2.03.003</t>
  </si>
  <si>
    <t>2.1.2.03.004</t>
  </si>
  <si>
    <t>2.1.2.03.005</t>
  </si>
  <si>
    <t>2.1.2.03.006</t>
  </si>
  <si>
    <t>2.1.2.03.007</t>
  </si>
  <si>
    <t>2.1.2.03.008</t>
  </si>
  <si>
    <t>2.1.2.03.009</t>
  </si>
  <si>
    <t>2.1.2.03.010</t>
  </si>
  <si>
    <t>2.1.2.04</t>
  </si>
  <si>
    <t>2.1.2.04.001</t>
  </si>
  <si>
    <t>2.1.2.04.002</t>
  </si>
  <si>
    <t>2.1.2.04.003</t>
  </si>
  <si>
    <t>2.1.2.04.004</t>
  </si>
  <si>
    <t>2.1.2.04.005</t>
  </si>
  <si>
    <t>2.1.2.04.006</t>
  </si>
  <si>
    <t>2.1.2.04.007</t>
  </si>
  <si>
    <t>2.1.2.04.008</t>
  </si>
  <si>
    <t>2.1.2.04.009</t>
  </si>
  <si>
    <t>2.1.2.04.010</t>
  </si>
  <si>
    <t>2.1.2.04.011</t>
  </si>
  <si>
    <t>2.1.2.04.012</t>
  </si>
  <si>
    <t>2.1.2.04.013</t>
  </si>
  <si>
    <t>2.1.2.04.014</t>
  </si>
  <si>
    <t>2.1.2.04.015</t>
  </si>
  <si>
    <t>2.1.2.04.016</t>
  </si>
  <si>
    <t>2.1.2.04.017</t>
  </si>
  <si>
    <t>2.1.2.04.018</t>
  </si>
  <si>
    <t>2.1.2.04.019</t>
  </si>
  <si>
    <t>2.1.2.04.020</t>
  </si>
  <si>
    <t>2.1.2.05</t>
  </si>
  <si>
    <t>2.1.2.06</t>
  </si>
  <si>
    <t>2.1.2.07</t>
  </si>
  <si>
    <t>2.1.2.08</t>
  </si>
  <si>
    <t>2.1.4.01.002</t>
  </si>
  <si>
    <t>2.1.4.01.003</t>
  </si>
  <si>
    <t>2.1.4.01.004</t>
  </si>
  <si>
    <t>2.1.4.01.005</t>
  </si>
  <si>
    <t>2.1.4.01.006</t>
  </si>
  <si>
    <t>2.1.4.01.007</t>
  </si>
  <si>
    <t>2.1.4.01.008</t>
  </si>
  <si>
    <t>2.1.4.01.009</t>
  </si>
  <si>
    <t>2.1.4.01.010</t>
  </si>
  <si>
    <t>2.1.4.01.011</t>
  </si>
  <si>
    <t>2.1.4.01.012</t>
  </si>
  <si>
    <t>2.1.4.01.013</t>
  </si>
  <si>
    <t>2.1.4.01.014</t>
  </si>
  <si>
    <t>2.1.4.01.015</t>
  </si>
  <si>
    <t>2.1.4.01.016</t>
  </si>
  <si>
    <t>2.1.4.01.022</t>
  </si>
  <si>
    <t>2.1.4.01.025</t>
  </si>
  <si>
    <t>2.1.4.01.026</t>
  </si>
  <si>
    <t>2.1.4.01.027</t>
  </si>
  <si>
    <t>2.1.4.01.028</t>
  </si>
  <si>
    <t>2.1.4.01.029</t>
  </si>
  <si>
    <t>2.1.4.01.030</t>
  </si>
  <si>
    <t>2.1.4.01.031</t>
  </si>
  <si>
    <t>2.1.4.01.032</t>
  </si>
  <si>
    <t>2.1.4.01.034</t>
  </si>
  <si>
    <t>2.1.5.01.001</t>
  </si>
  <si>
    <t>2.1.5.01.003</t>
  </si>
  <si>
    <t>2.1.5.01.005</t>
  </si>
  <si>
    <t>2.1.5.01.006</t>
  </si>
  <si>
    <t>2.1.5.01.007</t>
  </si>
  <si>
    <t>2.1.5.01.008</t>
  </si>
  <si>
    <t>2.1.5.01.009</t>
  </si>
  <si>
    <t>2.1.5.01.010</t>
  </si>
  <si>
    <t>2.1.5.01.011</t>
  </si>
  <si>
    <t>2.1.5.01.012</t>
  </si>
  <si>
    <t>2.1.5.02.003</t>
  </si>
  <si>
    <t>2.1.5.03.007</t>
  </si>
  <si>
    <t>2.1.5.03.008</t>
  </si>
  <si>
    <t>2.1.6.01</t>
  </si>
  <si>
    <t>2.1.6.01.001</t>
  </si>
  <si>
    <t>2.1.6.02.003</t>
  </si>
  <si>
    <t>2.1.6.02.008</t>
  </si>
  <si>
    <t>2.1.6.02.009</t>
  </si>
  <si>
    <t>2.1.7</t>
  </si>
  <si>
    <t>2.1.7.01</t>
  </si>
  <si>
    <t>2.1.7.01.001</t>
  </si>
  <si>
    <t>2.1.7.01.002</t>
  </si>
  <si>
    <t>2.1.7.02</t>
  </si>
  <si>
    <t>2.1.7.02.001</t>
  </si>
  <si>
    <t>2.1.7.02.002</t>
  </si>
  <si>
    <t>2.1.7.02.003</t>
  </si>
  <si>
    <t>2.1.7.03</t>
  </si>
  <si>
    <t>2.1.7.03.001</t>
  </si>
  <si>
    <t>2.1.8</t>
  </si>
  <si>
    <t>2.1.8.01</t>
  </si>
  <si>
    <t>2.1.8.02</t>
  </si>
  <si>
    <t>2.1.8.03</t>
  </si>
  <si>
    <t>2.1.9</t>
  </si>
  <si>
    <t>2.1.9.01</t>
  </si>
  <si>
    <t>2.1.9.02.001</t>
  </si>
  <si>
    <t>2.1.9.02.002</t>
  </si>
  <si>
    <t>2.1.9.02.003</t>
  </si>
  <si>
    <t>2.1.9.02.004</t>
  </si>
  <si>
    <t>2.1.9.02.005</t>
  </si>
  <si>
    <t>2.1.9.02.006</t>
  </si>
  <si>
    <t>2.1.9.02.008</t>
  </si>
  <si>
    <t>2.1.9.02.009</t>
  </si>
  <si>
    <t>2.1.9.02.010</t>
  </si>
  <si>
    <t>2.1.9.02.011</t>
  </si>
  <si>
    <t>2.1.9.02.012</t>
  </si>
  <si>
    <t>2.2.1.01.001.0001</t>
  </si>
  <si>
    <t>2.2.1.01.001.0002</t>
  </si>
  <si>
    <t>2.2.1.01.001.0003</t>
  </si>
  <si>
    <t>2.2.1.01.001.0004</t>
  </si>
  <si>
    <t>2.2.1.01.001.0005</t>
  </si>
  <si>
    <t>2.2.1.01.001.0006</t>
  </si>
  <si>
    <t>2.2.1.01.001.0007</t>
  </si>
  <si>
    <t>2.2.1.01.001.0008</t>
  </si>
  <si>
    <t>2.2.1.01.001.0009</t>
  </si>
  <si>
    <t>2.2.1.01.001.0010</t>
  </si>
  <si>
    <t>2.2.1.01.001.0011</t>
  </si>
  <si>
    <t>2.2.1.01.001.0012</t>
  </si>
  <si>
    <t>2.2.1.01.001.0013</t>
  </si>
  <si>
    <t>2.2.1.01.001.0014</t>
  </si>
  <si>
    <t>2.2.1.01.001.0015</t>
  </si>
  <si>
    <t>2.2.1.01.001.0016</t>
  </si>
  <si>
    <t>2.2.1.01.001.0017</t>
  </si>
  <si>
    <t>2.2.1.01.001.0018</t>
  </si>
  <si>
    <t>2.2.1.01.001.0019</t>
  </si>
  <si>
    <t>2.2.1.01.001.0020</t>
  </si>
  <si>
    <t>2.2.1.01.002</t>
  </si>
  <si>
    <t>2.2.1.01.003</t>
  </si>
  <si>
    <t>2.2.1.01.003.0001</t>
  </si>
  <si>
    <t>2.2.1.01.004</t>
  </si>
  <si>
    <t>2.2.1.01.005</t>
  </si>
  <si>
    <t>2.2.1.01.006</t>
  </si>
  <si>
    <t>2.2.1.01.007</t>
  </si>
  <si>
    <t>2.2.1.01.007.0001</t>
  </si>
  <si>
    <t>2.2.1.01.007.0002</t>
  </si>
  <si>
    <t>2.2.1.01.007.0003</t>
  </si>
  <si>
    <t>2.2.1.01.007.0004</t>
  </si>
  <si>
    <t>2.2.1.01.007.0005</t>
  </si>
  <si>
    <t>2.2.1.01.007.0006</t>
  </si>
  <si>
    <t>2.2.1.01.007.0007</t>
  </si>
  <si>
    <t>2.2.1.01.007.0008</t>
  </si>
  <si>
    <t>2.2.1.01.007.0009</t>
  </si>
  <si>
    <t>2.2.1.01.007.0010</t>
  </si>
  <si>
    <t>2.2.1.01.007.0011</t>
  </si>
  <si>
    <t>2.2.1.01.007.0012</t>
  </si>
  <si>
    <t>2.2.1.01.007.0013</t>
  </si>
  <si>
    <t>2.2.1.01.007.0014</t>
  </si>
  <si>
    <t>2.2.1.01.007.0015</t>
  </si>
  <si>
    <t>2.2.1.01.007.0016</t>
  </si>
  <si>
    <t>2.2.1.01.007.0017</t>
  </si>
  <si>
    <t>2.2.1.01.007.0018</t>
  </si>
  <si>
    <t>2.2.1.01.007.0019</t>
  </si>
  <si>
    <t>2.2.1.01.007.0020</t>
  </si>
  <si>
    <t>2.2.1.01.008</t>
  </si>
  <si>
    <t>2.2.1.01.008.0001</t>
  </si>
  <si>
    <t>2.2.1.01.008.0002</t>
  </si>
  <si>
    <t>2.2.1.01.008.0003</t>
  </si>
  <si>
    <t>2.2.1.01.008.0004</t>
  </si>
  <si>
    <t>2.2.1.01.008.0005</t>
  </si>
  <si>
    <t>2.2.1.01.008.0006</t>
  </si>
  <si>
    <t>2.2.1.01.008.0020</t>
  </si>
  <si>
    <t>2.2.1.02</t>
  </si>
  <si>
    <t>2.2.1.02.001</t>
  </si>
  <si>
    <t>2.2.1.02.001.0001</t>
  </si>
  <si>
    <t>2.2.1.02.002</t>
  </si>
  <si>
    <t>2.2.1.03</t>
  </si>
  <si>
    <t>2.2.1.03.001</t>
  </si>
  <si>
    <t>2.2.1.03.001.0001</t>
  </si>
  <si>
    <t>2.2.1.03.001.0002</t>
  </si>
  <si>
    <t>2.2.1.03.002</t>
  </si>
  <si>
    <t>2.2.1.03.002.0002</t>
  </si>
  <si>
    <t>2.2.1.03.002.0004</t>
  </si>
  <si>
    <t>2.2.1.03.002.0006</t>
  </si>
  <si>
    <t>2.2.1.03.002.0008</t>
  </si>
  <si>
    <t>2.2.1.03.002.0010</t>
  </si>
  <si>
    <t>2.2.1.03.002.0011</t>
  </si>
  <si>
    <t>2.2.1.03.002.0012</t>
  </si>
  <si>
    <t>2.2.1.04</t>
  </si>
  <si>
    <t>2.2.1.04.001</t>
  </si>
  <si>
    <t>2.3.1.01</t>
  </si>
  <si>
    <t>2.3.1.01.001</t>
  </si>
  <si>
    <t>2.3.2</t>
  </si>
  <si>
    <t>2.3.2.01</t>
  </si>
  <si>
    <t>2.3.2.02</t>
  </si>
  <si>
    <t>2.3.2.03</t>
  </si>
  <si>
    <t>2.3.2.04</t>
  </si>
  <si>
    <t>2.3.3</t>
  </si>
  <si>
    <t>2.3.3.01</t>
  </si>
  <si>
    <t>2.3.3.02</t>
  </si>
  <si>
    <t>2.3.4.01</t>
  </si>
  <si>
    <t>2.3.4.02</t>
  </si>
  <si>
    <t>2.3.4.05</t>
  </si>
  <si>
    <t>2.3.5.01.001</t>
  </si>
  <si>
    <t>2.3.5.01.002</t>
  </si>
  <si>
    <t>2.3.8</t>
  </si>
  <si>
    <t>2.3.8.01</t>
  </si>
  <si>
    <t>2.3.8.01.001</t>
  </si>
  <si>
    <t>3.1.1</t>
  </si>
  <si>
    <t>3.1.1.01</t>
  </si>
  <si>
    <t>3.1.1.01.001</t>
  </si>
  <si>
    <t>3.1.1.01.002</t>
  </si>
  <si>
    <t>3.1.1.01.003</t>
  </si>
  <si>
    <t>3.1.1.01.004</t>
  </si>
  <si>
    <t>3.1.1.01.005</t>
  </si>
  <si>
    <t>3.1.1.02</t>
  </si>
  <si>
    <t>3.1.1.02.001</t>
  </si>
  <si>
    <t>3.1.1.02.002</t>
  </si>
  <si>
    <t>3.1.1.03</t>
  </si>
  <si>
    <t>3.1.1.03.001</t>
  </si>
  <si>
    <t>3.1.1.03.002</t>
  </si>
  <si>
    <t>3.1.2.01.001</t>
  </si>
  <si>
    <t>3.1.2.01.002</t>
  </si>
  <si>
    <t>3.1.2.01.003</t>
  </si>
  <si>
    <t>3.1.2.01.004</t>
  </si>
  <si>
    <t>3.1.2.01.005</t>
  </si>
  <si>
    <t>3.1.2.01.006</t>
  </si>
  <si>
    <t>3.1.2.01.007</t>
  </si>
  <si>
    <t>3.1.2.01.008</t>
  </si>
  <si>
    <t>3.1.2.01.010</t>
  </si>
  <si>
    <t>3.1.2.02</t>
  </si>
  <si>
    <t>3.1.2.02.001</t>
  </si>
  <si>
    <t>3.1.2.02.002</t>
  </si>
  <si>
    <t>3.1.2.02.003</t>
  </si>
  <si>
    <t>3.1.2.02.004</t>
  </si>
  <si>
    <t>3.1.2.03.001</t>
  </si>
  <si>
    <t>3.1.2.03.002</t>
  </si>
  <si>
    <t>3.1.2.03.003</t>
  </si>
  <si>
    <t>3.1.2.03.005</t>
  </si>
  <si>
    <t>3.1.2.03.006</t>
  </si>
  <si>
    <t>3.1.2.03.007</t>
  </si>
  <si>
    <t>3.1.2.03.008</t>
  </si>
  <si>
    <t>3.1.2.03.009</t>
  </si>
  <si>
    <t>3.1.2.03.010</t>
  </si>
  <si>
    <t>3.1.2.03.011</t>
  </si>
  <si>
    <t>3.1.2.03.012</t>
  </si>
  <si>
    <t>3.1.2.03.013</t>
  </si>
  <si>
    <t>3.1.3.01.001</t>
  </si>
  <si>
    <t>3.1.3.01.002</t>
  </si>
  <si>
    <t>3.1.3.01.004</t>
  </si>
  <si>
    <t>3.1.3.01.005</t>
  </si>
  <si>
    <t>3.1.3.02</t>
  </si>
  <si>
    <t>3.1.3.02.001</t>
  </si>
  <si>
    <t>3.1.3.02.002</t>
  </si>
  <si>
    <t>3.1.4</t>
  </si>
  <si>
    <t>3.1.4.01</t>
  </si>
  <si>
    <t>3.1.4.02</t>
  </si>
  <si>
    <t>3.1.5.01.001</t>
  </si>
  <si>
    <t>3.1.5.01.002</t>
  </si>
  <si>
    <t>3.1.5.01.003</t>
  </si>
  <si>
    <t>3.1.5.01.004</t>
  </si>
  <si>
    <t>3.1.5.01.005</t>
  </si>
  <si>
    <t>3.2</t>
  </si>
  <si>
    <t>3.2.1</t>
  </si>
  <si>
    <t>3.2.1.01</t>
  </si>
  <si>
    <t>3.2.1.01.001</t>
  </si>
  <si>
    <t>3.2.1.02</t>
  </si>
  <si>
    <t>3.2.1.02.001</t>
  </si>
  <si>
    <t>3.2.1.03</t>
  </si>
  <si>
    <t>3.2.1.03.002</t>
  </si>
  <si>
    <t>4.1.1.01</t>
  </si>
  <si>
    <t>4.1.1.01.001</t>
  </si>
  <si>
    <t>4.1.1.01.002</t>
  </si>
  <si>
    <t>4.1.1.02</t>
  </si>
  <si>
    <t>4.1.1.02.001</t>
  </si>
  <si>
    <t>4.1.1.02.002</t>
  </si>
  <si>
    <t>4.1.1.02.003</t>
  </si>
  <si>
    <t>4.1.1.02.004</t>
  </si>
  <si>
    <t>4.1.1.02.005</t>
  </si>
  <si>
    <t>4.1.1.02.008</t>
  </si>
  <si>
    <t>4.1.1.02.009</t>
  </si>
  <si>
    <t>4.1.1.02.010</t>
  </si>
  <si>
    <t>4.1.1.02.011</t>
  </si>
  <si>
    <t>4.1.1.02.012</t>
  </si>
  <si>
    <t>4.1.1.02.013</t>
  </si>
  <si>
    <t>4.1.1.02.014</t>
  </si>
  <si>
    <t>4.1.1.02.015</t>
  </si>
  <si>
    <t>4.1.1.02.016</t>
  </si>
  <si>
    <t>4.1.1.02.017</t>
  </si>
  <si>
    <t>4.1.1.02.018</t>
  </si>
  <si>
    <t>4.1.1.02.019</t>
  </si>
  <si>
    <t>4.1.1.02.020</t>
  </si>
  <si>
    <t>4.1.1.02.021</t>
  </si>
  <si>
    <t>4.1.1.02.022</t>
  </si>
  <si>
    <t>4.1.1.02.023</t>
  </si>
  <si>
    <t>4.1.1.02.024</t>
  </si>
  <si>
    <t>4.1.1.02.025</t>
  </si>
  <si>
    <t>4.1.1.02.026</t>
  </si>
  <si>
    <t>4.1.1.03</t>
  </si>
  <si>
    <t>4.1.1.03.001</t>
  </si>
  <si>
    <t>4.1.1.03.002</t>
  </si>
  <si>
    <t>4.1.1.03.003</t>
  </si>
  <si>
    <t>4.1.1.03.004</t>
  </si>
  <si>
    <t>4.1.1.03.005</t>
  </si>
  <si>
    <t>4.1.1.03.006</t>
  </si>
  <si>
    <t>4.1.1.03.007</t>
  </si>
  <si>
    <t>4.1.1.03.008</t>
  </si>
  <si>
    <t>4.1.1.03.009</t>
  </si>
  <si>
    <t>4.1.1.03.010</t>
  </si>
  <si>
    <t>4.1.1.03.011</t>
  </si>
  <si>
    <t>4.1.1.03.012</t>
  </si>
  <si>
    <t>4.1.1.03.013</t>
  </si>
  <si>
    <t>4.1.1.03.014</t>
  </si>
  <si>
    <t>4.1.1.03.015</t>
  </si>
  <si>
    <t>4.1.1.03.016</t>
  </si>
  <si>
    <t>4.1.1.03.017</t>
  </si>
  <si>
    <t>4.1.1.03.018</t>
  </si>
  <si>
    <t>4.1.1.03.019</t>
  </si>
  <si>
    <t>4.1.1.04</t>
  </si>
  <si>
    <t>4.1.1.04.001</t>
  </si>
  <si>
    <t>4.1.1.04.002</t>
  </si>
  <si>
    <t>4.1.1.04.003</t>
  </si>
  <si>
    <t>4.1.1.04.004</t>
  </si>
  <si>
    <t>4.1.1.04.005</t>
  </si>
  <si>
    <t>4.1.1.04.006</t>
  </si>
  <si>
    <t>4.1.1.04.007</t>
  </si>
  <si>
    <t>4.1.1.04.008</t>
  </si>
  <si>
    <t>4.1.1.04.009</t>
  </si>
  <si>
    <t>4.1.2.01</t>
  </si>
  <si>
    <t>4.1.2.01.001</t>
  </si>
  <si>
    <t>4.1.3.01.003</t>
  </si>
  <si>
    <t>4.1.3.01.004</t>
  </si>
  <si>
    <t>4.1.3.01.005</t>
  </si>
  <si>
    <t>4.1.3.01.008</t>
  </si>
  <si>
    <t>4.1.3.01.009</t>
  </si>
  <si>
    <t>4.1.3.01.010</t>
  </si>
  <si>
    <t>4.1.3.01.011</t>
  </si>
  <si>
    <t>4.1.3.01.012</t>
  </si>
  <si>
    <t>4.1.3.01.013</t>
  </si>
  <si>
    <t>4.1.3.01.014</t>
  </si>
  <si>
    <t>4.1.3.01.015</t>
  </si>
  <si>
    <t>4.1.3.01.016</t>
  </si>
  <si>
    <t>4.1.3.01.017</t>
  </si>
  <si>
    <t>4.1.3.01.018</t>
  </si>
  <si>
    <t>4.1.3.01.019</t>
  </si>
  <si>
    <t>4.1.3.01.020</t>
  </si>
  <si>
    <t>4.1.3.01.021</t>
  </si>
  <si>
    <t>4.1.3.01.022</t>
  </si>
  <si>
    <t>4.1.3.01.023</t>
  </si>
  <si>
    <t>4.1.3.01.024</t>
  </si>
  <si>
    <t>4.1.3.01.025</t>
  </si>
  <si>
    <t>4.1.3.01.026</t>
  </si>
  <si>
    <t>4.1.3.02.001</t>
  </si>
  <si>
    <t>4.1.3.02.002</t>
  </si>
  <si>
    <t>4.1.3.02.003</t>
  </si>
  <si>
    <t>4.1.3.02.004</t>
  </si>
  <si>
    <t>4.1.3.02.005</t>
  </si>
  <si>
    <t>4.1.3.02.006</t>
  </si>
  <si>
    <t>4.1.3.02.007</t>
  </si>
  <si>
    <t>4.1.3.02.008</t>
  </si>
  <si>
    <t>4.1.3.02.009</t>
  </si>
  <si>
    <t>4.1.3.02.012</t>
  </si>
  <si>
    <t>4.1.3.02.013</t>
  </si>
  <si>
    <t>4.1.3.02.014</t>
  </si>
  <si>
    <t>4.1.3.02.015</t>
  </si>
  <si>
    <t>4.1.3.02.016</t>
  </si>
  <si>
    <t>4.1.3.02.017</t>
  </si>
  <si>
    <t>4.1.3.02.018</t>
  </si>
  <si>
    <t>4.1.3.02.019</t>
  </si>
  <si>
    <t>4.1.3.02.020</t>
  </si>
  <si>
    <t>4.1.3.02.021</t>
  </si>
  <si>
    <t>4.1.3.03.001</t>
  </si>
  <si>
    <t>4.1.3.03.002</t>
  </si>
  <si>
    <t>4.1.3.03.003</t>
  </si>
  <si>
    <t>4.1.3.03.004</t>
  </si>
  <si>
    <t>4.1.3.03.005</t>
  </si>
  <si>
    <t>4.1.3.03.006</t>
  </si>
  <si>
    <t>4.1.3.03.007</t>
  </si>
  <si>
    <t>4.1.3.03.008</t>
  </si>
  <si>
    <t>4.1.3.03.009</t>
  </si>
  <si>
    <t>4.2.1.01</t>
  </si>
  <si>
    <t>4.2.1.01.001</t>
  </si>
  <si>
    <t>4.2.1.01.002</t>
  </si>
  <si>
    <t>4.2.1.01.003</t>
  </si>
  <si>
    <t>4.2.1.01.004</t>
  </si>
  <si>
    <t>4.2.1.01.005</t>
  </si>
  <si>
    <t>4.2.1.01.006</t>
  </si>
  <si>
    <t>4.2.1.01.007</t>
  </si>
  <si>
    <t>4.2.1.01.008</t>
  </si>
  <si>
    <t>4.2.1.01.009</t>
  </si>
  <si>
    <t>4.2.1.01.010</t>
  </si>
  <si>
    <t>4.2.1.01.011</t>
  </si>
  <si>
    <t>4.2.1.01.012</t>
  </si>
  <si>
    <t>4.2.1.01.013</t>
  </si>
  <si>
    <t>4.2.1.01.014</t>
  </si>
  <si>
    <t>4.2.1.01.015</t>
  </si>
  <si>
    <t>4.2.1.01.016</t>
  </si>
  <si>
    <t>4.2.1.01.017</t>
  </si>
  <si>
    <t>4.2.1.01.018</t>
  </si>
  <si>
    <t>4.2.1.01.019</t>
  </si>
  <si>
    <t>4.2.1.01.020</t>
  </si>
  <si>
    <t>4.2.1.01.021</t>
  </si>
  <si>
    <t>4.2.1.01.022</t>
  </si>
  <si>
    <t>4.2.1.01.023</t>
  </si>
  <si>
    <t>4.2.1.01.024</t>
  </si>
  <si>
    <t>4.2.1.01.025</t>
  </si>
  <si>
    <t>4.2.1.01.026</t>
  </si>
  <si>
    <t>4.2.1.02.001</t>
  </si>
  <si>
    <t>4.2.1.02.002</t>
  </si>
  <si>
    <t>4.2.1.02.003</t>
  </si>
  <si>
    <t>4.2.1.02.004</t>
  </si>
  <si>
    <t>4.2.1.02.005</t>
  </si>
  <si>
    <t>4.2.1.02.007</t>
  </si>
  <si>
    <t>4.2.1.02.008</t>
  </si>
  <si>
    <t>4.2.1.02.010</t>
  </si>
  <si>
    <t>4.2.1.02.011</t>
  </si>
  <si>
    <t>4.2.1.02.012</t>
  </si>
  <si>
    <t>4.2.1.02.014</t>
  </si>
  <si>
    <t>4.2.1.02.015</t>
  </si>
  <si>
    <t>4.2.1.02.017</t>
  </si>
  <si>
    <t>4.2.1.02.018</t>
  </si>
  <si>
    <t>4.2.1.02.019</t>
  </si>
  <si>
    <t>4.2.1.02.020</t>
  </si>
  <si>
    <t>4.2.1.02.021</t>
  </si>
  <si>
    <t>4.2.1.02.022</t>
  </si>
  <si>
    <t>4.2.1.02.023</t>
  </si>
  <si>
    <t>4.2.1.02.024</t>
  </si>
  <si>
    <t>4.2.1.02.027</t>
  </si>
  <si>
    <t>4.2.1.02.028</t>
  </si>
  <si>
    <t>4.2.1.02.029</t>
  </si>
  <si>
    <t>4.2.1.02.030</t>
  </si>
  <si>
    <t>4.2.1.02.033</t>
  </si>
  <si>
    <t>4.2.1.02.035</t>
  </si>
  <si>
    <t>4.2.1.02.036</t>
  </si>
  <si>
    <t>4.2.1.02.037</t>
  </si>
  <si>
    <t>4.2.1.02.038</t>
  </si>
  <si>
    <t>4.2.1.02.039</t>
  </si>
  <si>
    <t>4.2.1.02.040</t>
  </si>
  <si>
    <t>4.2.1.02.042</t>
  </si>
  <si>
    <t>4.2.1.03.005</t>
  </si>
  <si>
    <t>4.2.1.03.009</t>
  </si>
  <si>
    <t>4.2.1.03.010</t>
  </si>
  <si>
    <t>4.2.1.04.006</t>
  </si>
  <si>
    <t>4.2.1.04.009</t>
  </si>
  <si>
    <t>4.2.1.04.010</t>
  </si>
  <si>
    <t>4.2.1.04.011</t>
  </si>
  <si>
    <t>4.2.1.04.012</t>
  </si>
  <si>
    <t>4.2.1.04.013</t>
  </si>
  <si>
    <t>4.2.1.04.015</t>
  </si>
  <si>
    <t>4.2.1.05.001</t>
  </si>
  <si>
    <t>4.2.1.05.002</t>
  </si>
  <si>
    <t>4.2.1.05.003</t>
  </si>
  <si>
    <t>4.2.1.06.001</t>
  </si>
  <si>
    <t>4.2.1.06.003</t>
  </si>
  <si>
    <t>4.2.1.06.004</t>
  </si>
  <si>
    <t>4.2.1.06.005</t>
  </si>
  <si>
    <t>4.2.1.06.006</t>
  </si>
  <si>
    <t>4.2.1.06.007</t>
  </si>
  <si>
    <t>4.2.1.06.008</t>
  </si>
  <si>
    <t>4.2.1.06.009</t>
  </si>
  <si>
    <t>4.2.1.06.010</t>
  </si>
  <si>
    <t>4.2.1.07.001</t>
  </si>
  <si>
    <t>4.2.1.08</t>
  </si>
  <si>
    <t>4.2.1.08.001</t>
  </si>
  <si>
    <t>4.2.1.08.002</t>
  </si>
  <si>
    <t>4.2.1.09</t>
  </si>
  <si>
    <t>4.2.1.09.001</t>
  </si>
  <si>
    <t>4.2.1.09.002</t>
  </si>
  <si>
    <t>BANCO HSBC S/A.</t>
  </si>
  <si>
    <t>CAIXA ECONOMICA FEDERAL</t>
  </si>
  <si>
    <t>UNICRED COOPERATIVA DE CREDITO</t>
  </si>
  <si>
    <t>BANCO CITIBANK S/A.</t>
  </si>
  <si>
    <t>BANCO SOFISA S/A.</t>
  </si>
  <si>
    <t>(-) BANCO DO BRASIL S/A.</t>
  </si>
  <si>
    <t>(-) BANCO BRADESCO S/A.</t>
  </si>
  <si>
    <t>(-) BANCO SANTANDER S/A.</t>
  </si>
  <si>
    <t>(-) BANCO HSBC S/A.</t>
  </si>
  <si>
    <t>(-) BANCO SAFRA S/A.</t>
  </si>
  <si>
    <t>(-) CAIXA ECONOMICA FEDERAL</t>
  </si>
  <si>
    <t>(-) UNICRED COOPERATIVA DE CREDITO</t>
  </si>
  <si>
    <t>(-) BANCO CITIBANK S/A.</t>
  </si>
  <si>
    <t>OUTRAS DISPONIBILIDADES</t>
  </si>
  <si>
    <t>TRANSFERENCIA - MATRIZ</t>
  </si>
  <si>
    <t>TRANSFERENCIA - FILIAL 01</t>
  </si>
  <si>
    <t>TRANSFERENCIA - FILIAL 02</t>
  </si>
  <si>
    <t>TRANSFERENCIA - FILIAL 03</t>
  </si>
  <si>
    <t>TRANSFERENCIA - FILIAL 04</t>
  </si>
  <si>
    <t>TRANSFERENCIA - FILIAL 05</t>
  </si>
  <si>
    <t>TRANSFERENCIA - FILIAL 06</t>
  </si>
  <si>
    <t>CRÉDITOS VENCIDOS E NÃO LIQUIDADOS</t>
  </si>
  <si>
    <t>BANCOS CONTA VINCULADA</t>
  </si>
  <si>
    <t>TÍTULOS A RECEBER</t>
  </si>
  <si>
    <t>DIVIDENDOS A RECEBER</t>
  </si>
  <si>
    <t>ADIANTAMENTO DE VIAGENS</t>
  </si>
  <si>
    <t>ADIANTAMENTO DE DESPESAS</t>
  </si>
  <si>
    <t>EMPRÉSTIMO A EMPREGADOS</t>
  </si>
  <si>
    <t>IPI A RECUPERAR</t>
  </si>
  <si>
    <t>PIS A RECUPERAR</t>
  </si>
  <si>
    <t>COFINS A RECUPERAR</t>
  </si>
  <si>
    <t>IMPOSTO DE RENDA RETIDO NA FONTE</t>
  </si>
  <si>
    <t>IRPJ - ESTIMATIVA</t>
  </si>
  <si>
    <t>IRPJ - SALDO NEGATIVO</t>
  </si>
  <si>
    <t>CSLL - RETIDO NA FONTE</t>
  </si>
  <si>
    <t>CSLL - ESTIMATIVA</t>
  </si>
  <si>
    <t>CSLL - SALDO NEGATIVO</t>
  </si>
  <si>
    <t>PIS RETIDO NA FONTE</t>
  </si>
  <si>
    <t>IPI A COMPENSAR</t>
  </si>
  <si>
    <t>CONTRIBUIÇÃO PREVIDENCIARIA RETIDA NA FONTE</t>
  </si>
  <si>
    <t>PIS RECUPERAR - CRÉDITO PRESUMIDO</t>
  </si>
  <si>
    <t>BÔNUS DE ADIMPLÊNCIA FISCAL A COMPENSAR</t>
  </si>
  <si>
    <t>JUROS SOBRE O CAPITAL PRÓPRIO</t>
  </si>
  <si>
    <t>JUROS SOBRE O CAPITAL PRÓPRIO A RECEBER</t>
  </si>
  <si>
    <t>ANTECIPAÇÃO DE LUCROS AOS SOCIOS</t>
  </si>
  <si>
    <t>ANTECIPAÇÃO DE LUCROS</t>
  </si>
  <si>
    <t>APLICAÇÕES FINANCEIRAS</t>
  </si>
  <si>
    <t>APLICAÇÕES FINANCEIRAS REND. PREFIXADOS</t>
  </si>
  <si>
    <t>APLICAÇÕES BANCO DO BRASIL</t>
  </si>
  <si>
    <t>AÇÕES</t>
  </si>
  <si>
    <t>DEBÊNTURES</t>
  </si>
  <si>
    <t>VALOR NOMINAL</t>
  </si>
  <si>
    <t>(-) DESÁGIO A APROPRIAR</t>
  </si>
  <si>
    <t>ESTOQUES DE INSUMOS</t>
  </si>
  <si>
    <t>MATERIA PRIMA</t>
  </si>
  <si>
    <t>ESTOQUE SERVIÇOS</t>
  </si>
  <si>
    <t>MATERIAIS APLICADOS NA PRODUÇÃO DO SERVIÇO</t>
  </si>
  <si>
    <t>SERVIÇOS EM ANDAMENTO</t>
  </si>
  <si>
    <t>ESTOQUE DE IMOVEIS</t>
  </si>
  <si>
    <t>ESTOQUES OUTROS</t>
  </si>
  <si>
    <t>ASSINATURAS E ANUIDADES</t>
  </si>
  <si>
    <t>ALUGUEIS PAGOS ANTECIPADAMENTE</t>
  </si>
  <si>
    <t>ADIANTAMENTO FINAME</t>
  </si>
  <si>
    <t>DIVERSOS</t>
  </si>
  <si>
    <t>CAUÇÃO - IMÓVEL</t>
  </si>
  <si>
    <t>ATIVO REALIZÁVEL A LONGO PRAZO</t>
  </si>
  <si>
    <t>CLIENTE C</t>
  </si>
  <si>
    <t>(-) CRÉDITOS VENCIDOS E NÃO LIQUIDADOS</t>
  </si>
  <si>
    <t>EMPRESTIMOS A COLIGADAS</t>
  </si>
  <si>
    <t>EMPRESTIMOS AOS SÓCIOS</t>
  </si>
  <si>
    <t>UNICRED COOPERATIVA DE CRÉDITO</t>
  </si>
  <si>
    <t>(-) UNICRED COOPERATIVA DE CRÉDITO</t>
  </si>
  <si>
    <t>(-) BANCO SOFISA S/A.</t>
  </si>
  <si>
    <t>DEPÓSITOS JUDICIAIS</t>
  </si>
  <si>
    <t>EMPRÉSTIMOS COMPULSÓRIOS</t>
  </si>
  <si>
    <t>EMPRESTIMO COMPULSORIO S/ VEICULOS</t>
  </si>
  <si>
    <t>TRIBUTOS A RECUPERAR</t>
  </si>
  <si>
    <t>DESPESAS PAGAS ANTECIPADAS</t>
  </si>
  <si>
    <t>DEPÓSITOS POR INCENTIVOS FISCAIS</t>
  </si>
  <si>
    <t>CONTROLADAS E COLIGADAS - EQUIV. PATRIM.</t>
  </si>
  <si>
    <t>BANCO DO BRASIL - OURO CAP</t>
  </si>
  <si>
    <t>NSA RECAUCHUTAGEM DE PNEUS</t>
  </si>
  <si>
    <t>NSA PNEUTEC COMERCIAL</t>
  </si>
  <si>
    <t>RECAMAR PNEUS LTDA.</t>
  </si>
  <si>
    <t>CVM PROPRIEDADES COMERCIAIS</t>
  </si>
  <si>
    <t>CONTROLADAS E COLIGADAS CUSTO CORRIGIDO</t>
  </si>
  <si>
    <t>OUTRAS PARTICIPAÇÕES SOCIETÁRIAS</t>
  </si>
  <si>
    <t>PARTICIPAÇÕES POR INCENTIVOS FISCAIS</t>
  </si>
  <si>
    <t>FINOR</t>
  </si>
  <si>
    <t>FINAM</t>
  </si>
  <si>
    <t>IMÓVEIS NÃO DESTINADOS AO USO</t>
  </si>
  <si>
    <t>OUTROS INVESTIMENTOS PERMANENTES</t>
  </si>
  <si>
    <t>OBJETOS DE ARTE</t>
  </si>
  <si>
    <t>CAUÇÕES PERMANENTES</t>
  </si>
  <si>
    <t>(-) PROVISÃO PARA PERDAS PERMANENTE</t>
  </si>
  <si>
    <t>(-) CONTROLADAS E COLIGADAS EQUI. PATRIM</t>
  </si>
  <si>
    <t>(-) CONTROLADAS COLIGADAS CUSTO CORRIGID</t>
  </si>
  <si>
    <t>(-) OUTRAS PARTICIPAÇÕES SOCIETÁRIAS</t>
  </si>
  <si>
    <t>(-) PARTICIPAÇÕES POR INCENTIVOS FISCAIS</t>
  </si>
  <si>
    <t>(-) IMÓVEIS NÃO DESTINADOS A USO</t>
  </si>
  <si>
    <t>(-) OUTROS INVESTIMENTOS PERMANENTES</t>
  </si>
  <si>
    <t>TERRENOS</t>
  </si>
  <si>
    <t>EDIFICIOS E CONSTRUÇÕES</t>
  </si>
  <si>
    <t>CONSTRUÇÕES EM ANDAMENTO - IMOVEIS PROPRIOS</t>
  </si>
  <si>
    <t>EMBARCAÇÕES</t>
  </si>
  <si>
    <t>MÁQUINAS, EQUIPAMENTOS E FERRAMENTAS</t>
  </si>
  <si>
    <t>MÁQUINAS E EQUIPAMENTOS</t>
  </si>
  <si>
    <t>VEÍCULOS</t>
  </si>
  <si>
    <t>RECURSOS NATURAIS</t>
  </si>
  <si>
    <t>IMOBILIZADO EM ANDAMENTO</t>
  </si>
  <si>
    <t>(-) EDIFICIOS E CONSTRUÇÕES</t>
  </si>
  <si>
    <t>(-) CENTRO DE PROCESSAMENTO DE DADOS</t>
  </si>
  <si>
    <t>IMOBILIZADO LESING - FINANCEIRO</t>
  </si>
  <si>
    <t>MAQUINAS, EQUIPAMENTOS E INSTALAÇÕES COMERCIAIS</t>
  </si>
  <si>
    <t>MÓVEIS UTENSILIOS E INSTALAÇÕES COMERCIAIS</t>
  </si>
  <si>
    <t>(-) DEPRECIAÇÕES, AMORT.E EXAUST.ACUM.-LEASING FINANCEIRO</t>
  </si>
  <si>
    <t>MÁQUINAS, EQUIPAMENTOS E INSTALAÇÕES INDUSTRIAIS</t>
  </si>
  <si>
    <t>MÓVEIS, UTENSÍLIOS E INSTALAÇÕES COMERCIAIS</t>
  </si>
  <si>
    <t>CONCESSÕES</t>
  </si>
  <si>
    <t>DIREITOS AUTORAIS</t>
  </si>
  <si>
    <t>FUNDO DE COMERCIO</t>
  </si>
  <si>
    <t>FRANQUIAS</t>
  </si>
  <si>
    <t>(-) OUTRAS CONTAS REDUTORAS DO INTANGIVEL</t>
  </si>
  <si>
    <t>A CABINE MATERIAIS ELETRICOS LTDA</t>
  </si>
  <si>
    <t>ACEVEDO REPRESENTACOES DE EMBALAGENS LTDA - ME</t>
  </si>
  <si>
    <t>ACOTUBO IND E COM LTDA</t>
  </si>
  <si>
    <t>ACRO-MINAS CABOS DE ACO E FERRAMENTAS LT</t>
  </si>
  <si>
    <t>ACTIVAS PLASTICOS INDUSTRIAIS LTDA</t>
  </si>
  <si>
    <t>AGENCIA DE VAPORES GRIEG SA</t>
  </si>
  <si>
    <t>AGNS GRAFICA E EDITORA LTDA EPP</t>
  </si>
  <si>
    <t>AIRSHIP DO BRASIL IND. AERO LT</t>
  </si>
  <si>
    <t>ALCA IND. COM. DE PRODUTOS DE LIMPEZA LT</t>
  </si>
  <si>
    <t>ALCABRAS INDUSTRIA E COMERCIO LTDA</t>
  </si>
  <si>
    <t>ALLIANCE DISTRIBUIDORA E IMP PECAS EIREL</t>
  </si>
  <si>
    <t>ALLIANCE LUBRIFICANTES LTDA</t>
  </si>
  <si>
    <t>ALR CORSINI LOCACOES - ME</t>
  </si>
  <si>
    <t>ALTA INDUSTRIA DE TRANCADOS LTDA - ME</t>
  </si>
  <si>
    <t>ALTELAS COM. DE TELAS E ARAMES LTDA</t>
  </si>
  <si>
    <t>AMAUSI USINAGEM DE PRECISÃO LTDA EPP</t>
  </si>
  <si>
    <t>AMF LOGISTICA DOCUMENTAL LTDA - EPP</t>
  </si>
  <si>
    <t>AMIL ASSISTENCIA MEDICA INTERNACIONAL S.</t>
  </si>
  <si>
    <t>AMPLA FIOS COMERCIO E INDUSTRIA LTDA ME</t>
  </si>
  <si>
    <t>ANTONIO CECIL MACEDO PEDREIRA DE FREITAS</t>
  </si>
  <si>
    <t>ANTONIO EDILSON DA SILVA 25125544817</t>
  </si>
  <si>
    <t>APARECIDO DE ARAÚJO</t>
  </si>
  <si>
    <t>ARAGÃO REPRESENTAÇÕES LTDA</t>
  </si>
  <si>
    <t>ARCELIO OKUBO VACA</t>
  </si>
  <si>
    <t>ARUSEG EQUIPAMENTOS LTDA-ME</t>
  </si>
  <si>
    <t>ATLAS COPCO BRASIL LTDA</t>
  </si>
  <si>
    <t>AUTO POSTO VENTUROSA LTDA</t>
  </si>
  <si>
    <t xml:space="preserve">B.D.Zenller Ind e Com de Prod. Metal. e </t>
  </si>
  <si>
    <t>B2W COMPANHIA DIGITAL</t>
  </si>
  <si>
    <t>BANDEIRANTE ENERGIA S.A</t>
  </si>
  <si>
    <t>BARONI &amp; BARONI EDITORA E ARTES GRAFICAS</t>
  </si>
  <si>
    <t>BEVI PLASTIC ARTEFATOS PLASTICOS LTDA</t>
  </si>
  <si>
    <t>BIG BEARD BRAZIL IMPORTACAO E EXPORTACAO</t>
  </si>
  <si>
    <t>BOA VISTA SERVICOS S.A.</t>
  </si>
  <si>
    <t>CANEL COMERCIO DE PLÁSTICOS LTDA - EPP</t>
  </si>
  <si>
    <t>CARBUS INDUSTRIA E COMERCIO LTDA.</t>
  </si>
  <si>
    <t>CASA DAS CORDAS INDUSTRIA E COMERCIO LTD</t>
  </si>
  <si>
    <t>CASA DO LOJISTA ATAC M.C.LTDA</t>
  </si>
  <si>
    <t>CASARIN &amp; CARVALHO LTDA - ME</t>
  </si>
  <si>
    <t>CAXIAS CARGAS AEREAS LTDA</t>
  </si>
  <si>
    <t>CBV COMERCIAL BRASILEIRA DE VEDAÇÕES LTD</t>
  </si>
  <si>
    <t>Cevilha Ind. Com. de Caixas de Papelao L</t>
  </si>
  <si>
    <t>CLAIR LEONARDO DIAS</t>
  </si>
  <si>
    <t>COM. IND. IRMAOS SALFATIS LTDA</t>
  </si>
  <si>
    <t>COMERCIAL AUTOMOTIVA S.A.</t>
  </si>
  <si>
    <t>COMERCIAL DE MATERIAL DE CONSTRUCAO CAST</t>
  </si>
  <si>
    <t>COMERCIAL E DISTRIBUIDORA GLOBAL-WORLD L</t>
  </si>
  <si>
    <t>COMERCIO DE ACESSORIOS INDUSTRIAIS CONTU</t>
  </si>
  <si>
    <t>COMERCIO DE TINTAS MACHADO LTDA</t>
  </si>
  <si>
    <t>COMMIT PRODUTOS MOTIVACIONAIS LTDA EPP</t>
  </si>
  <si>
    <t>CONSUMIDOR FINAL</t>
  </si>
  <si>
    <t>Corbatex Cordas e Barbantes Ltda</t>
  </si>
  <si>
    <t>Cotonificio Fiacao Pedreira Ltda.</t>
  </si>
  <si>
    <t>CRISMAR MAQ. PROD. LIMPEZA LTDA</t>
  </si>
  <si>
    <t>Cromex S.A</t>
  </si>
  <si>
    <t>DARLEY ANDERSON DA SILVA VENTILACAO ME</t>
  </si>
  <si>
    <t>DELL COMPUTADORES DO BRASIL LTDA</t>
  </si>
  <si>
    <t>DIGEL ELETRICA LTDA</t>
  </si>
  <si>
    <t>DIMATECNICA COMERCIO DE MATERIAIS ELETRI</t>
  </si>
  <si>
    <t>DTR IND E COM DE COMPONENTES PARA ARMAZE</t>
  </si>
  <si>
    <t>DUTRA MAQUINAS COMERCIAL E TECNICA LTDA</t>
  </si>
  <si>
    <t>E NOGUEIRA SILVA FORTS EMPILHADEIRAS - M</t>
  </si>
  <si>
    <t>EDISON TADEU SOUZA VIEIRA ME</t>
  </si>
  <si>
    <t>EDMOND HABIB GHATTAS LTDA</t>
  </si>
  <si>
    <t>ELASTOBOR BORRACHAS E PLASTICOS LTDA</t>
  </si>
  <si>
    <t>ELETRIC TEST SERVICOS LTDA</t>
  </si>
  <si>
    <t>ELETRICA COMERCIAL ANDRA LTDA</t>
  </si>
  <si>
    <t xml:space="preserve">ELETROFERRO ELETRICA,FERROS E FERRAGENS </t>
  </si>
  <si>
    <t>ELETROLESTE COM IMP MAT ELETR LTDA</t>
  </si>
  <si>
    <t>ELETROMECANICA BALAN LTDA</t>
  </si>
  <si>
    <t>ELETROMECANICA IRMAOS PERES LTDA - ME</t>
  </si>
  <si>
    <t>ELETROSOLDA COMERCIO E REPRESENTACOES LT</t>
  </si>
  <si>
    <t>ELETROTEM COMECIAL LTDA</t>
  </si>
  <si>
    <t>EMBRAFIOS IND., COM. E EXPORTACAO LTDA</t>
  </si>
  <si>
    <t>ENGELETRICA INDUSTRIA , COMERCIO E SERVI</t>
  </si>
  <si>
    <t>EURO AKTION IND. E COM. DE PECAS PARA MA</t>
  </si>
  <si>
    <t>F.D. ALVES DE MOURA</t>
  </si>
  <si>
    <t>FAEDES PUBLICACOES LTDA</t>
  </si>
  <si>
    <t>FAME FAB APAR MAT ELETR LTDA</t>
  </si>
  <si>
    <t>FATEK INDUSTRIA E COMERCIO LTDA - ME</t>
  </si>
  <si>
    <t>FCA FIAT CHRYSLER AUTOMOVEIS BRASIL LTDA</t>
  </si>
  <si>
    <t>FENIX TELAS METALICAS LTDA</t>
  </si>
  <si>
    <t>FERNANDA BARONE ABIAD - ME</t>
  </si>
  <si>
    <t>FERRO E ACO JC GUARU LTDA EPP</t>
  </si>
  <si>
    <t>FERROVIA IND. E COM. DE LONA LTDA EPP</t>
  </si>
  <si>
    <t>FIT LAR INDUSTRIA E COMERCIO DE ADESIVOS</t>
  </si>
  <si>
    <t>FREZADORA LANDRO LTDA</t>
  </si>
  <si>
    <t>FS VENDAS E REPRESENTACOES LTDA</t>
  </si>
  <si>
    <t>FUSOTEC INDUSTRIA E COMERCIO DE MAQUINAS</t>
  </si>
  <si>
    <t>G B IND E COM ARTEFATOS DE PAP E PAPELAO</t>
  </si>
  <si>
    <t>G. BALAZINI REPRESENTACOES COMERCIAIS LTDA.</t>
  </si>
  <si>
    <t>G.G. Gonçalves Embalagens Ltda - ME</t>
  </si>
  <si>
    <t>G4 REPRESENTAÇÕES LTDA</t>
  </si>
  <si>
    <t>GALAN TEXTILE MACHINERY S.L</t>
  </si>
  <si>
    <t>GARCIA DE CARVALHO TRANSPORTES LTDA ME</t>
  </si>
  <si>
    <t>GEOTEX  ACESSORIOS DO VEST. LTDA</t>
  </si>
  <si>
    <t>GERSON SANTANA SILVA - ME</t>
  </si>
  <si>
    <t>GLOBAL CENTER COMERCIO DE FERRAGENS LTDA</t>
  </si>
  <si>
    <t>GLOBO-FAC INDUSTRIA E COMERCIO LTDA - ME</t>
  </si>
  <si>
    <t>GOLDENSHIP TRANSPORTES INTERNACIONAIS LT</t>
  </si>
  <si>
    <t>GUARUANA INDUSTRIA E COMERCIO TEXTIL LTD</t>
  </si>
  <si>
    <t>H.R.C. - HAFEN REPRESENTACAO COMERCIAL L</t>
  </si>
  <si>
    <t>HABILTECS DISTRIBUICAO DE PECAS E SERVIC</t>
  </si>
  <si>
    <t>HANIER ESPECIALIDADES QUIMICAS LTDA</t>
  </si>
  <si>
    <t>High Comercio de Materiais Eletricos Ltd</t>
  </si>
  <si>
    <t>HIGH QUALITY IND E COM DE P QUIMICOS</t>
  </si>
  <si>
    <t>HOLLPLASTIC LTDA - ME</t>
  </si>
  <si>
    <t xml:space="preserve">IFS ENGENHARIA CONSULTORIA E ASSESSORIA </t>
  </si>
  <si>
    <t>IMPROGEO SERVICOS DE IMPERMEABILIZACAO E</t>
  </si>
  <si>
    <t>INDAIA HOTEL RESIDENCE LTDA - ME</t>
  </si>
  <si>
    <t>INDUSTRIA CONSTRUCOES E MONTAGENS INGELE</t>
  </si>
  <si>
    <t>INDUSTRIA E COMERCIO LEAL LTDA</t>
  </si>
  <si>
    <t>INGRAM MICRO BRASIL LTDA</t>
  </si>
  <si>
    <t>INSTITUTO DE PESQUISAS TECNOLOGICAS DO E</t>
  </si>
  <si>
    <t>INTER GLOBAL IMPORT. E EXPORT. EIRELI</t>
  </si>
  <si>
    <t>IRIS ALVES COBIANCHI MATERIAIS DE CONSTR</t>
  </si>
  <si>
    <t xml:space="preserve">Itasul Industra Comercio de Resistência </t>
  </si>
  <si>
    <t>Itibam Kaizen Com. Hig. Prof. Ltda</t>
  </si>
  <si>
    <t>ITIBAN INDUSTRIA E COMERCIO DE FIEIRAS L</t>
  </si>
  <si>
    <t>ITURAN SERVICOS LTDA.</t>
  </si>
  <si>
    <t>J P DE ALMEIDA - ME</t>
  </si>
  <si>
    <t>J T OLIVEIRA BALANCAS - ME</t>
  </si>
  <si>
    <t>J. I. DA SILVA ANDRE PECAS - ME</t>
  </si>
  <si>
    <t>JANIR GAMA FORTES SERVICOS LTDA - ME</t>
  </si>
  <si>
    <t>JBACUS Comercial Ltda</t>
  </si>
  <si>
    <t>JG Tubos Embalagens Industriais LTDA</t>
  </si>
  <si>
    <t>JOAQUIM MARIO VIEIRA TRANSPORTES ME</t>
  </si>
  <si>
    <t>JORNADA E BERGUEMMAIER LTDA - ME</t>
  </si>
  <si>
    <t>JOSUE GUILHERME MACEDO ALVES</t>
  </si>
  <si>
    <t>JP DA SILVA APOIO ADMINISTRATIVO - ME</t>
  </si>
  <si>
    <t>JPI TRANSPORTES RODOVIARIOS LTDA ME</t>
  </si>
  <si>
    <t>JUARY LIMA DE ALMEIDA 93086423749</t>
  </si>
  <si>
    <t>K  N SOLUCOES EM IMPORTACAO E EXPORTACAO</t>
  </si>
  <si>
    <t>K &amp; T COMERCIO, EXP E IMP. DE LAMINAS IN</t>
  </si>
  <si>
    <t>KALUNGA COM. E IND. GRAFICA LTDA</t>
  </si>
  <si>
    <t>Kalunga Comercio e Industria Grafica Ltd</t>
  </si>
  <si>
    <t>KARINA IND E COM DE PLASTICOS LTDA</t>
  </si>
  <si>
    <t>KING SERVICE LTDA ME</t>
  </si>
  <si>
    <t>KORDSA BRASIL S A</t>
  </si>
  <si>
    <t>KORDSA BRASIL S/A.</t>
  </si>
  <si>
    <t>KOREA TEXTIL IND. E COM. LTDA</t>
  </si>
  <si>
    <t>KRATOS EQUIPAMENTOS INDUSTRIAIS LTDA</t>
  </si>
  <si>
    <t>ktrfios importacao e exportacao ltda</t>
  </si>
  <si>
    <t>L A FALCAO BAUER CENTRO TECNOLOGICO DE C</t>
  </si>
  <si>
    <t>LAHUMAN IND E COM DE PLASTICOS LTDA</t>
  </si>
  <si>
    <t>LEANDRO VASQUES MELO - EPP</t>
  </si>
  <si>
    <t>LENZEMAQ INDUSTRIA E COMERCIO LTDA - EPP</t>
  </si>
  <si>
    <t>Leo Madeiras, Maq.e Ferragens S.A.</t>
  </si>
  <si>
    <t>LOCALFRIO S.A. ARMAZENS GERAIS FRIGORIFI</t>
  </si>
  <si>
    <t>LONGO IND COM MAQUINAS TEXTEIS LTDA - EP</t>
  </si>
  <si>
    <t>Longo Ind. e Com. de Maq. Texteis Ltda</t>
  </si>
  <si>
    <t>LUCIANA ALMEIDA BRAZIL ME</t>
  </si>
  <si>
    <t>LVO REPRESENTACOES LTDA / "DIVERSOS - BR</t>
  </si>
  <si>
    <t>M.ANZAI E CIA LTDA</t>
  </si>
  <si>
    <t>MACEA CERAMICA TECNICA LTDA</t>
  </si>
  <si>
    <t>MAGAZINE LUIZA S/A</t>
  </si>
  <si>
    <t>MAIS POLIMEROS DO BRASIL LTDA</t>
  </si>
  <si>
    <t>MARCELO MASSAMI OTA ME</t>
  </si>
  <si>
    <t>MARFRIG GLOBAL FOODS S.A.</t>
  </si>
  <si>
    <t>MARIA APARECIDA ALVES LEITE - ME</t>
  </si>
  <si>
    <t>MARLUCI RODRIGUES DE ALMEIDA ME</t>
  </si>
  <si>
    <t>MAWATI COLETA DE RESIDUOS INDUSTRIAIS LT</t>
  </si>
  <si>
    <t>MAXFER METAIS LTDA</t>
  </si>
  <si>
    <t>MAXX PRIME TRANSPORTES E SERVICOS LTDA -</t>
  </si>
  <si>
    <t>MAZZAFERRO IND COM PROD PESCA S A</t>
  </si>
  <si>
    <t>MELLFIOS REPRESENTACOES LTDA - ME</t>
  </si>
  <si>
    <t>Mentec Comercio e Manutencao de Equipame</t>
  </si>
  <si>
    <t>MERCADO ELETRONICO S.A.</t>
  </si>
  <si>
    <t>MILANO EMBALAGENS LTDA - ME</t>
  </si>
  <si>
    <t>MOLLA FIX COMERCIO DE PARAFUSOS E FERRAM</t>
  </si>
  <si>
    <t>MORGAN MATERIAIS PARA CONSTRUCAO LTDA</t>
  </si>
  <si>
    <t>MUNDIAL PACKING IND E COM DE EMBALAGENS</t>
  </si>
  <si>
    <t>NATALINO FERREIRA VAZ</t>
  </si>
  <si>
    <t>NEW POLYCOR POLIAS E CORREIAS LTDA</t>
  </si>
  <si>
    <t>NEXO INTERNATIONAL LTDA</t>
  </si>
  <si>
    <t>NEXT SHOP INFORMATICA LTDA</t>
  </si>
  <si>
    <t>Nova Piramidal Thermoplastics Ltda</t>
  </si>
  <si>
    <t>NS Importacao e Comercio Ltda</t>
  </si>
  <si>
    <t>NUBE NUCLEO BRASILEIRO DE ESTAGIOS LTDA</t>
  </si>
  <si>
    <t>OCEANO INDUSTRIA E COMERCIO DE PLASTICOS</t>
  </si>
  <si>
    <t>OESTE COMERCIAL DE FERRO E ACO LTDA.</t>
  </si>
  <si>
    <t>OMNI WAY ADM. TRANSPORTES E LOGISTICA LT</t>
  </si>
  <si>
    <t>ORLANDO NOGUEIRAO RODRIGUES GUARNICOES D</t>
  </si>
  <si>
    <t>PAN ELECTRIC IND ELETROELETRONICA LTDA</t>
  </si>
  <si>
    <t xml:space="preserve">PAPYTEX IND. E COM. DE PRODUTOS TEXTEIS </t>
  </si>
  <si>
    <t>PAULO CESAR TAVARES &amp; CIA LTDA</t>
  </si>
  <si>
    <t>PERFIL LIDER INDUSTRIA ELETROMECANICA EI</t>
  </si>
  <si>
    <t>PERFILUZ DO BRASIL ELETROCALHAS E PERFIL</t>
  </si>
  <si>
    <t>Piramide Comercio e Manutenção de Eq Con</t>
  </si>
  <si>
    <t>PK-SERVICOS E INSTALACOES ELETRICAS LTDA - EPP</t>
  </si>
  <si>
    <t>PLASNIL INDUSTRIA E COMERCIO DE MAQUINAS</t>
  </si>
  <si>
    <t>PLAST BLACK PIGMENTOS E COMPOSTOS LTDA E</t>
  </si>
  <si>
    <t>PLASTER COMERCIO DE RESINAS PLASTICAS EI</t>
  </si>
  <si>
    <t>PLASTICOS PREMIUM PACK IND E COM EMB FLE</t>
  </si>
  <si>
    <t>PLASTPEL EMBALAGENS LTDA</t>
  </si>
  <si>
    <t>POLIFITEMA IND E COM LT</t>
  </si>
  <si>
    <t>POLIFORTE IND COM DE FIOS TECNICOS LTDA</t>
  </si>
  <si>
    <t>PORTIFER COMERCIO DE FERRO E ACO LTDA</t>
  </si>
  <si>
    <t>PORTO SEGURO PROTECAO E MONITORAMENTO LT</t>
  </si>
  <si>
    <t>PP COMERCIO DE ARTEFATOS DE PAPEL E PAPE</t>
  </si>
  <si>
    <t>PRESMED PRESTACAO DE SERVICOS MEDICOS LT</t>
  </si>
  <si>
    <t>PRISCILA PAZ CARVALHO 30912863803</t>
  </si>
  <si>
    <t>PRO-ENERGY - PROJETOS E INSTALACOES ELETRICAS LTDA - ME</t>
  </si>
  <si>
    <t xml:space="preserve">PROLABOR CAMPINAS REPRESENTACOES LTDA - </t>
  </si>
  <si>
    <t>PROTENDI COMERCIO DE EPI LTDA ME</t>
  </si>
  <si>
    <t>Q-CAMPO PRODUTOS AGROPECUARIOS LTDA</t>
  </si>
  <si>
    <t>Q&amp;G - REPRESENTACOES COMERCIAIS LTDA - M</t>
  </si>
  <si>
    <t>QUADRIMARK INDUSTRIA E COMERCIO LTDA</t>
  </si>
  <si>
    <t>QUIMESP QUIMICA LTDA.</t>
  </si>
  <si>
    <t>QUIMILINE INDÚSTRIA E COMÉRCIO EIRELI EP</t>
  </si>
  <si>
    <t>R DOIS IND E COM DE ETIQUETAS LTDA</t>
  </si>
  <si>
    <t>R E DE SOUZA - EPP</t>
  </si>
  <si>
    <t>R. E. ARTES GRAFICAS LTDA - ME</t>
  </si>
  <si>
    <t>REDEBRAS IND. E COM. DE PLAST. LTDA</t>
  </si>
  <si>
    <t>REKELL COMERCIO E REFORMA DE CARRINHOS E</t>
  </si>
  <si>
    <t>Renault do Brasil S/A.</t>
  </si>
  <si>
    <t>REPRECAM REPRESENTACOES E COMERCIO AMAZO</t>
  </si>
  <si>
    <t>RG REPRESENTACOES LTDA - ME</t>
  </si>
  <si>
    <t>RODOBARRA TRANSPORTE LTDA</t>
  </si>
  <si>
    <t>RODRIGO DE AVEIRO FERREIRA BRINDES ME</t>
  </si>
  <si>
    <t>ROMA &amp; MONIMP LTDA - EPP</t>
  </si>
  <si>
    <t>Roomar Bombas Equip Piscinas Ltda</t>
  </si>
  <si>
    <t>RR 5 PATAS PET SHOP LTDA - EPP</t>
  </si>
  <si>
    <t>RV PLASTIC FORROS E DIVISORIAS LTDA</t>
  </si>
  <si>
    <t>SAKAMOTO LUBRIFICANTES PECAS E SERV</t>
  </si>
  <si>
    <t>SALES EQUIP. E PROD. HIG. PROF. LTDA.</t>
  </si>
  <si>
    <t>SANDAPLAST INDUSTRIA E COMERCIO DE PLAST</t>
  </si>
  <si>
    <t>Santana Refrigeracao e Instrumentacao Lt</t>
  </si>
  <si>
    <t>SEISA SERVIÇOS INTEGRADOS DE SAÚDE</t>
  </si>
  <si>
    <t>SERASA S.A.</t>
  </si>
  <si>
    <t>SHAPHIR COMERCIO DE AGULHAS PARA MALHARI</t>
  </si>
  <si>
    <t>SILVA RADAR EQUIPAMENTOS E SERVICOS LTDA</t>
  </si>
  <si>
    <t>SINTEC LOCADORA TECNICA E COMERCIAL LTDA</t>
  </si>
  <si>
    <t>SINTEC PRO-MAQUINAS LTDA</t>
  </si>
  <si>
    <t>SIVA IND. E COM. DE ARTEFATOS DE ARAME E</t>
  </si>
  <si>
    <t>SKEMA PNEUS COMERCIAL LTDA - EPP</t>
  </si>
  <si>
    <t>SOLO NETWORK BRASIL LTDA</t>
  </si>
  <si>
    <t>SUPRYTECH COPIADORAS LTDA.BCO.- ME</t>
  </si>
  <si>
    <t>T.M.A PINTO - ME</t>
  </si>
  <si>
    <t>TAPETES SAO CARLOS LTDA.</t>
  </si>
  <si>
    <t>TEC UAI SOLUCOES EM INFORMATICA LTDA</t>
  </si>
  <si>
    <t>TECITELAS TECIDOS E TELAS METÁLICAS LTDA</t>
  </si>
  <si>
    <t>Tenda Atacado Ltda</t>
  </si>
  <si>
    <t>Tercio Rodrigues de Oliveira Equip. ME</t>
  </si>
  <si>
    <t>TEXMAN Ind. e Com. de Pecas Texteis Ltda</t>
  </si>
  <si>
    <t>TEXTIL ASSEF MALUF LTDA</t>
  </si>
  <si>
    <t>TK BRASIL ASSESSORIA EM COMERCIO EXTERIO</t>
  </si>
  <si>
    <t>TORK INDUSTRIA E COMERCIO DE FIOS E TECI</t>
  </si>
  <si>
    <t>TOYOTA MATERIAL HANDLING MERCOSUR INDUST</t>
  </si>
  <si>
    <t>TRANSPORTADORA BH-MINAS LTDA</t>
  </si>
  <si>
    <t>Transportes OP LTDA - SPO</t>
  </si>
  <si>
    <t>TUBETES HAVAI ARTEFATOS DE PAPEL LTDA</t>
  </si>
  <si>
    <t>TUBOLEVE INDÚSTRA COMÉRCIO TUBOS DE PAPE</t>
  </si>
  <si>
    <t>UEHARA COMERCIO DE MATERIAIS ELETRICOS L</t>
  </si>
  <si>
    <t>UNIMAR AGENCIAMENTOS MARITIMOS LTDA</t>
  </si>
  <si>
    <t>Unimat Industria de Maquinas Trançadeira</t>
  </si>
  <si>
    <t xml:space="preserve">V &amp; MOTA REPRESENTACAO COMERCIAL LTDA - </t>
  </si>
  <si>
    <t>VALP CENTRO AUTOMOTIVO DE VINHEDO LTDA</t>
  </si>
  <si>
    <t>VATHISA IND. COM. PLASTICOS LTDA</t>
  </si>
  <si>
    <t>VEDER DO BRASIL EIRELI</t>
  </si>
  <si>
    <t>VICK COMERCIO DE PLASTICOS E METAIS LTDA</t>
  </si>
  <si>
    <t>VILMA APARECIDA CARVALHO 13913615806</t>
  </si>
  <si>
    <t>VIVIANDA COMERCIO DE GAS LTDA ME</t>
  </si>
  <si>
    <t xml:space="preserve">W. ELAN INDUSTRIA E COMERCIO DE ESCADAS </t>
  </si>
  <si>
    <t>ZHEJIANG GUXIANDAO INDUSTRIAL FIBRE CO.L</t>
  </si>
  <si>
    <t>ZHEJIANG UNIFULL INDUSTRIAL</t>
  </si>
  <si>
    <t>ZPL LOCACOES LTDA - EPP</t>
  </si>
  <si>
    <t>FORNECEDORES ESTRANGEIROS</t>
  </si>
  <si>
    <t>FINANCIAMENTOS - EXTERIOR</t>
  </si>
  <si>
    <t>DUPLICATAS DESCONTADAS</t>
  </si>
  <si>
    <t>ARRENDAMENTO MERCANTIL</t>
  </si>
  <si>
    <t>UNICRED COOPEWRATIVA DE CREDITO</t>
  </si>
  <si>
    <t>ARRENDAMENTO MERCANTIL - EXTERIOR</t>
  </si>
  <si>
    <t>FINANCIAMENTOS - PESSOA FISICA</t>
  </si>
  <si>
    <t>ADIANTAMENTOS SOBRE CONTRATOS DE CÂMBIO</t>
  </si>
  <si>
    <t>CONTROLADORA, CONTROLADAS E COLIGADAS</t>
  </si>
  <si>
    <t>ICMS A RECOLHER - FILIAL 01</t>
  </si>
  <si>
    <t>ICMS A RECOLHER - FILIAL 02</t>
  </si>
  <si>
    <t>ICMS A RECOLHER - FILIAL 03</t>
  </si>
  <si>
    <t>ICMS A RECOLHER - FILIAL 04</t>
  </si>
  <si>
    <t>ICMS A RECOLHER - FILIAL 05</t>
  </si>
  <si>
    <t>ICMS A RECOLHER - FILIAL 06</t>
  </si>
  <si>
    <t>ICMS A RECOLHER - FILIAL 07</t>
  </si>
  <si>
    <t>IPI A RECOLHER - FILIAL 01</t>
  </si>
  <si>
    <t>IPI A RECOLHER - FILIAL 02</t>
  </si>
  <si>
    <t>IPI A RECOLHER - FILIAL 03</t>
  </si>
  <si>
    <t>IPI A RECOLHER - FILIAL 04</t>
  </si>
  <si>
    <t>IPI A RECOLHER - FILIAL 05</t>
  </si>
  <si>
    <t>IPI A RECOLHER - FILIAL 06</t>
  </si>
  <si>
    <t>IPI A RECOLHER - FILIAL 07</t>
  </si>
  <si>
    <t>IMPOSTO UNICO A RECOLHER</t>
  </si>
  <si>
    <t>CONTRIBUIÇÃO CONFEDERATIVA A RECOLHER</t>
  </si>
  <si>
    <t>MENSALIDADE SINDICAL A RECOLHER</t>
  </si>
  <si>
    <t>CONTR. S/ PLR A RECOLHER</t>
  </si>
  <si>
    <t>INSS A PAGAR - IN/381</t>
  </si>
  <si>
    <t>PRO-LABORE A PAGAR</t>
  </si>
  <si>
    <t>GRATIFICAÇÕES A PAGAR</t>
  </si>
  <si>
    <t>PARTICIPAÇÃO NOS LUCROS</t>
  </si>
  <si>
    <t>13o. SALARIO A PAGAR</t>
  </si>
  <si>
    <t>PENSÃO JUDICIAL</t>
  </si>
  <si>
    <t>SALARIO MATERNIDADE</t>
  </si>
  <si>
    <t>SALARIO FAMILIA</t>
  </si>
  <si>
    <t>EMPRESTIMOS CONSIGNADOS - FUNCIONARIOS</t>
  </si>
  <si>
    <t>FÉRIAS A PAGAR</t>
  </si>
  <si>
    <t>PIS S/ FOLHA A RECOLHER</t>
  </si>
  <si>
    <t>PROVISÕES PARA FÉRIAS</t>
  </si>
  <si>
    <t>PROVISÕES PARA 13º SALÁRIO</t>
  </si>
  <si>
    <t>INSS SOBRE PROVISÕES PARA FÉRIAS</t>
  </si>
  <si>
    <t>INSS SOBRE PROVISÕES PARA 13º SALÁRIO</t>
  </si>
  <si>
    <t>FGTS SOBRE PROVISÕES PARA FÉRIAS</t>
  </si>
  <si>
    <t>FGTS SOBRE PROVISÕES PARA 13º SALÁRIO</t>
  </si>
  <si>
    <t>PIS SOBRE PROVISÕES PARA FÉRIAS</t>
  </si>
  <si>
    <t>PIS SOBRE PROVISÕES PARA 13º SALÁRIO</t>
  </si>
  <si>
    <t>ADIANTAMENTOS A CLIENTES</t>
  </si>
  <si>
    <t>ADIANTAMENTO DE CLIENTES</t>
  </si>
  <si>
    <t>CHEQUES A COMPENSAR</t>
  </si>
  <si>
    <t>COMISSÕES A PAGAR</t>
  </si>
  <si>
    <t>DISTRIBUIÇÃO DE LUCROS A PAGAR</t>
  </si>
  <si>
    <t>DIVIDENDOS, PART. E JURO SOBRE O CAPITAL</t>
  </si>
  <si>
    <t>DIVIDENDOS</t>
  </si>
  <si>
    <t>DIVIDENDOS PROPOSTOS</t>
  </si>
  <si>
    <t>DIVIDENDOS A PAGAR</t>
  </si>
  <si>
    <t>PARTICIPAÇÕES</t>
  </si>
  <si>
    <t>PARTICIPAÇÕES PROPOSTA A ADMINISTRADORES</t>
  </si>
  <si>
    <t>PARTICIPAÇÕES PROPOSTA A EMPREGADOS</t>
  </si>
  <si>
    <t>PARTICIPAÇÕES A PAGAR</t>
  </si>
  <si>
    <t>JUROS SOBRE CAPITAL PRÓPRIO</t>
  </si>
  <si>
    <t>JUROS SOBRE CAPITAL PRÓPRIO A PAGAR</t>
  </si>
  <si>
    <t>DEBÊNTURES CONVERSÍVEIS EM AÇÕES</t>
  </si>
  <si>
    <t>DEBÊNTURES NÃO CONVERSÍVEIS</t>
  </si>
  <si>
    <t>OBRIGAÇÕES PARCELADAS</t>
  </si>
  <si>
    <t>IMPOSTOS</t>
  </si>
  <si>
    <t>IRPJ - DIV ATIVA</t>
  </si>
  <si>
    <t>(-) ENCARGO FINANCEIRO - IRPJ</t>
  </si>
  <si>
    <t>CSLL - DIV ATIVA</t>
  </si>
  <si>
    <t>(-) ENCARGO FINANCEIRO - CSLL</t>
  </si>
  <si>
    <t>ENCARGO FINANCEIRO - PIS</t>
  </si>
  <si>
    <t>(-) ENCARGO FINANCEIRO - COFINS</t>
  </si>
  <si>
    <t>IPI - DIVA TAIVA</t>
  </si>
  <si>
    <t>(-) ENCARGO FINANCEIRO - IPI</t>
  </si>
  <si>
    <t>COFINS - DIV ATIVA</t>
  </si>
  <si>
    <t>PARCELAMENTO APROV INDEVIDO CRED - LEI 11.941/09</t>
  </si>
  <si>
    <t>BANCO HSBC S/A</t>
  </si>
  <si>
    <t>FINANC. - BANCO DO BRASIL - FUNPROGER</t>
  </si>
  <si>
    <t>EMPRÉSTIMOS ESTRANGEIROS</t>
  </si>
  <si>
    <t>FINANCIAMENTOS</t>
  </si>
  <si>
    <t>BANCO FINASA S/A</t>
  </si>
  <si>
    <t>FINANCIAMENTOS ESTRANGEIROS</t>
  </si>
  <si>
    <t>OUTROS DÉBITOS COM SÓCIOS, ADM, PESSOAS</t>
  </si>
  <si>
    <t>FINAME</t>
  </si>
  <si>
    <t>FORNECEDOR A</t>
  </si>
  <si>
    <t>FORNECEDOR B</t>
  </si>
  <si>
    <t>PROVISÃO PARA IR SOBRE LUCROS DIFERIDOS</t>
  </si>
  <si>
    <t>CRÉDITOS DA CSLL SOBRE BENS DO ATIVO</t>
  </si>
  <si>
    <t>IRPJ</t>
  </si>
  <si>
    <t>CSLL</t>
  </si>
  <si>
    <t>PIS</t>
  </si>
  <si>
    <t>COFINS</t>
  </si>
  <si>
    <t>IPI</t>
  </si>
  <si>
    <t>RESERVAS DE CAPITAL</t>
  </si>
  <si>
    <t>ÁGIO NA EMISSÃO DE AÇÕES</t>
  </si>
  <si>
    <t>DOAÇÕES E SUBVENÇÕES PARA INVESTIMENTOS</t>
  </si>
  <si>
    <t>(-) AÇÕES/QUOTAS EM TESOURARIA</t>
  </si>
  <si>
    <t>CORREÇÃO MONETÁRIA DO CAP. INTEGRALIZADO</t>
  </si>
  <si>
    <t>RESERVA DE REAVALIAÇÃO</t>
  </si>
  <si>
    <t>REAVALIAÇÃO DE ATIVOS COLIGADAS</t>
  </si>
  <si>
    <t>REAVALIAÇÃO DE ATIVOS PRÓPRIOS</t>
  </si>
  <si>
    <t>RESERVA ESTATUTÁRIA</t>
  </si>
  <si>
    <t>RESERVA PARA CONTINGÊNCIAS</t>
  </si>
  <si>
    <t>RESERVA ESPECIAL</t>
  </si>
  <si>
    <t>LUCROS ACUMULADOS</t>
  </si>
  <si>
    <t>(-) PREJUÍZOS ACUMULADOS</t>
  </si>
  <si>
    <t>CONTAS DE ENCERRAMENTO</t>
  </si>
  <si>
    <t>ENCERRAMENTO DO EXERCICIO</t>
  </si>
  <si>
    <t>RESULTADO DO PERIODO</t>
  </si>
  <si>
    <t>VENDA DE PRODUTOS</t>
  </si>
  <si>
    <t>VENDA DE PRODUTOS NO MERCADO EXTERNO</t>
  </si>
  <si>
    <t>VENDA DE MERCADORIAS NO MERCADO EXTERNO</t>
  </si>
  <si>
    <t xml:space="preserve">EXPORTAÇÃO DIRETA E INDIRETA - MERCADORI </t>
  </si>
  <si>
    <t>RECEITA DE PRESTAÇÃO DE SERVIÇOS</t>
  </si>
  <si>
    <t>SERVIÇOS PRESTADOS</t>
  </si>
  <si>
    <t>SERVIÇOS DE BENEFICIAMENTOS</t>
  </si>
  <si>
    <t>SERVIÇOS PRESTADO MERCADO EXTERNO</t>
  </si>
  <si>
    <t>RECEITA DAS ATIVIDADES IMOBILIARIAS</t>
  </si>
  <si>
    <t>RECEITA DA VENDA DAS UNIDADES IMOBILIARIAS</t>
  </si>
  <si>
    <t>RECEITA DA LOCAÇÃO DE BENS MOVEIS E IMOVEIS</t>
  </si>
  <si>
    <t>(-) DEVOLUÇÃO DE VENDA DE PRODUTOS</t>
  </si>
  <si>
    <t>(-) DEV. VENDA DE PRODUTOS MERCADO EXT.</t>
  </si>
  <si>
    <t>(-) DEV. VENDA DE MERCADORIAS MERC. EXT</t>
  </si>
  <si>
    <t>ICMS S/ DEVOLUÇÃO DE VENDAS</t>
  </si>
  <si>
    <t>IPI S/ DEVOLUÇÃO DE VENDAS</t>
  </si>
  <si>
    <t>COFINS S/ DEVOLUÇÃO DE VENDAS</t>
  </si>
  <si>
    <t>PIS S/ DEVOLUÇÃO DE VENDAS</t>
  </si>
  <si>
    <t>IPI OUTROS</t>
  </si>
  <si>
    <t>(-) DESCONTOS INCONDICIONAIS</t>
  </si>
  <si>
    <t>(-) DESCONTO VENDA DE PRODUTOS</t>
  </si>
  <si>
    <t>(-) DESCONTO VENDA DE PRODUTO MERC. EXT</t>
  </si>
  <si>
    <t>(-) DESCONTO VENDA DE MERCADORIA</t>
  </si>
  <si>
    <t>(-) DESC. VENDA DE MERCADORIAS MERC. EXT</t>
  </si>
  <si>
    <t>(-) IPI</t>
  </si>
  <si>
    <t>(-) ICMS</t>
  </si>
  <si>
    <t>(-) PIS</t>
  </si>
  <si>
    <t>(-) CONTRIBUIÇÃO SOCIAL</t>
  </si>
  <si>
    <t>(-) IMPOSTO DE RENDA</t>
  </si>
  <si>
    <t>(-) SUBSTITUIÇÃO TRIBUTÁRIA</t>
  </si>
  <si>
    <t>(-) REFIS</t>
  </si>
  <si>
    <t>(-) FIA</t>
  </si>
  <si>
    <t>(-) INSS RECEITA BRUTA</t>
  </si>
  <si>
    <t>INSS DESONERAÇÃO S/ FOLHA DE PAGAMENTO</t>
  </si>
  <si>
    <t>JUROS DE APLICAÇÕES</t>
  </si>
  <si>
    <t>JUROS</t>
  </si>
  <si>
    <t>MULTA</t>
  </si>
  <si>
    <t>VARIAÇÕES MONETÁRIAS</t>
  </si>
  <si>
    <t>VARIAÇÕES MONETÁRIAS ATIVAS</t>
  </si>
  <si>
    <t>VARIAÇÕES CAMBIAIS ATIVAS</t>
  </si>
  <si>
    <t>RECUPERAÇÃO DE DESPESAS</t>
  </si>
  <si>
    <t>RECUP. CRÉDITOS CONSIDERADOS INCOBRÁVEIS</t>
  </si>
  <si>
    <t>REVERSÃO DE PROVISÕES</t>
  </si>
  <si>
    <t>ALUGUÉIS E ARRENDAMENTOS</t>
  </si>
  <si>
    <t>VENDAS ACESSÓRIAS</t>
  </si>
  <si>
    <t>RECEITA DE EQUIVALÊNCIA PATRIMONIAL</t>
  </si>
  <si>
    <t>DIVIDENDOS E LUCROS RECEBIDOS</t>
  </si>
  <si>
    <t>AMORTIZAÇÃO DE DESÁGIO</t>
  </si>
  <si>
    <t>RECEITAS NÃO OPERACIONAIS</t>
  </si>
  <si>
    <t>RESULTADOS NÃO OPERACIONAIS</t>
  </si>
  <si>
    <t>RESULTADOS POSIT. NA ALIEN. DE INVESTIM</t>
  </si>
  <si>
    <t>LUCROS NA ALIENAÇÃO DE PART. EM COLIGADA</t>
  </si>
  <si>
    <t>LUCROS NA ALIENAÇÃO DE IMOBILIZADO</t>
  </si>
  <si>
    <t>LUCROS NA ALIENAÇÃO DE ATIVO PERMANENTE</t>
  </si>
  <si>
    <t>RESULTADO DE SINISTROS COM IMOBILIZADO</t>
  </si>
  <si>
    <t>SINISTROS COM IMOBILIZADO</t>
  </si>
  <si>
    <t>MATERIAL APLICADO</t>
  </si>
  <si>
    <t>MATÉRIA-PRIMA</t>
  </si>
  <si>
    <t>CUSTO DE IMPORTAÇÃO</t>
  </si>
  <si>
    <t>MÃO-DE-OBRA DIRETA</t>
  </si>
  <si>
    <t>FÉRIAS</t>
  </si>
  <si>
    <t>13º SALÁRIO</t>
  </si>
  <si>
    <t>INDENIZAÇÕES E AVISO PRÉVIO</t>
  </si>
  <si>
    <t>MULTA RESCISÓRIA FGTS</t>
  </si>
  <si>
    <t>ABONO PECUNIARIO</t>
  </si>
  <si>
    <t>PARTICIPAÇÃO NOS LUCROS E RESULTADOS</t>
  </si>
  <si>
    <t>ABONO ESPECIAL</t>
  </si>
  <si>
    <t>ASSISTENCIA MEDICA</t>
  </si>
  <si>
    <t>MEDICAMENTOS</t>
  </si>
  <si>
    <t>DESPESAS COM ALIMENTAÇÃO</t>
  </si>
  <si>
    <t>AUXILIO CRECHE</t>
  </si>
  <si>
    <t>PROVISÃO DE FÉRIAS</t>
  </si>
  <si>
    <t>PROVISÃO DE INSS S/ FÉRIAS</t>
  </si>
  <si>
    <t>PROVISÃO DE FGTS S/ FÉRIAS</t>
  </si>
  <si>
    <t>PROVISÃO DE 13o. SALARIO</t>
  </si>
  <si>
    <t>PROVISÃO DE INSS S/ 13o. SALARIO</t>
  </si>
  <si>
    <t>PROVISÃO DE FGTS S/ 13o. SALARIO</t>
  </si>
  <si>
    <t>ASSISTENCIA ODONTOLOGICA</t>
  </si>
  <si>
    <t>13º SALARIO INDENIZADO</t>
  </si>
  <si>
    <t>CUSTOS GERAIS</t>
  </si>
  <si>
    <t>ENERGIA ELETRICA</t>
  </si>
  <si>
    <t>AGUA</t>
  </si>
  <si>
    <t>MANUTENÇÃO DO IMOBILIZADO</t>
  </si>
  <si>
    <t>FERRAMENTAS DE DESGASTE</t>
  </si>
  <si>
    <t>EQUIPAMENTOS E MATERIAIS DE SEGURANÇA</t>
  </si>
  <si>
    <t>FRETES E CARRETOS</t>
  </si>
  <si>
    <t>DESPESAS COM CARTÃO DE CREDITO</t>
  </si>
  <si>
    <t>SERVIÇOS PRESTADOS - PF</t>
  </si>
  <si>
    <t>MATERIAL DE LIMPEZA</t>
  </si>
  <si>
    <t>LOCAÇÃO DE EQUIPAMENTOS</t>
  </si>
  <si>
    <t>UNIFORMES</t>
  </si>
  <si>
    <t>GÁS</t>
  </si>
  <si>
    <t>DEPRECIAÇÃO CENTRO DE PROCESSAMENTO DE DADOS</t>
  </si>
  <si>
    <t>DEPRECIAÇÃO EDIFICIOS E CONTRUÇÕES</t>
  </si>
  <si>
    <t>DEPRECIAÇÃO DE MOLDES E MATRIZES</t>
  </si>
  <si>
    <t>DEPRECIAÇÃO TELEFONICA</t>
  </si>
  <si>
    <t>RESULTADO DAS VENDAS</t>
  </si>
  <si>
    <t>CUSTO DAS MERCADORIAS VENDIDAS</t>
  </si>
  <si>
    <t>FERIAS</t>
  </si>
  <si>
    <t>13º SALARIO</t>
  </si>
  <si>
    <t>ABONO PECUNIÁRIO</t>
  </si>
  <si>
    <t>PARTICIPAÇÕES NOS LUCROS E RESULTADOS</t>
  </si>
  <si>
    <t>PROVISÃO DE 13º SALARIO</t>
  </si>
  <si>
    <t>PROVISÃO DE INSS S/ 13º SALARIO</t>
  </si>
  <si>
    <t>PROVISÃO DE FGTS S/ 13º SALARIO</t>
  </si>
  <si>
    <t>FERRAMENTA DE DESGASTE</t>
  </si>
  <si>
    <t>DEPRECIAÇÃO CENTRO DE PROCESSAMENTOS DE DADOS</t>
  </si>
  <si>
    <t>DEPRECIAÇÃO EDIFÍCIOS E CONSTRUÇÕES</t>
  </si>
  <si>
    <t>ALUGUÉIS</t>
  </si>
  <si>
    <t>MANUTENÇÃO E CONSERVAÇÃO</t>
  </si>
  <si>
    <t>PROPAGANDA, PUBLICIDADE E PATROCINIO</t>
  </si>
  <si>
    <t>CORREIOS</t>
  </si>
  <si>
    <t>SEGUROS</t>
  </si>
  <si>
    <t>BENS DE NATUREZA PERMANENTE DEDUZIDOS COMO DESPESA</t>
  </si>
  <si>
    <t>CRÉDITOS DE PIS NÃO CUMULATIVOS</t>
  </si>
  <si>
    <t>CRÉDITOS DE COFINS NÃO CUMULATIVOS</t>
  </si>
  <si>
    <t>DESPESAS COM ESTACIONAMENTO</t>
  </si>
  <si>
    <t>IMPRESSOS</t>
  </si>
  <si>
    <t>SERVIÇOS PRESTADOS PESSOA FISICA</t>
  </si>
  <si>
    <t>DESPESAS COM ASSINATURAS - JORNAIS E REVISTAS</t>
  </si>
  <si>
    <t>CÓPIAS E LEGALIZAÇÕES</t>
  </si>
  <si>
    <t>CONTRIBUIÇÕES E DOAÇÕES</t>
  </si>
  <si>
    <t>INTERNET</t>
  </si>
  <si>
    <t>DEPESAS COM BRINDES</t>
  </si>
  <si>
    <t>DESPESA C/BONIFICAÇÃO</t>
  </si>
  <si>
    <t>DEPRECIAÇÃO EDIFICIOS E CONSTRUÇÕES</t>
  </si>
  <si>
    <t>DEPRECIAÇÃO DE FERRAMENTAS E ACESSÓRIOS</t>
  </si>
  <si>
    <t>IPVA/DPVAT</t>
  </si>
  <si>
    <t>ICMS</t>
  </si>
  <si>
    <t>TAXA DE FISCALIZAÇÃO E FUNCIONAMENTO</t>
  </si>
  <si>
    <t>MULTAS DE MORA</t>
  </si>
  <si>
    <t>CONTRIBUIÇÃO SOCIAL</t>
  </si>
  <si>
    <t>IR GANHO DE CAPITAL</t>
  </si>
  <si>
    <t>AJUSTE DE EXERCICIOS ANTERIORES</t>
  </si>
  <si>
    <t>HOSPEDAGEM</t>
  </si>
  <si>
    <t>REFEIÇÕES</t>
  </si>
  <si>
    <t>VIAGENS TERRESTRES</t>
  </si>
  <si>
    <t>VARIAÇÕES CAMBIAIS PASSIVAS</t>
  </si>
  <si>
    <t>PERDAS INCORRIDAS NO MERCADO DE RENDA VARIAVEL</t>
  </si>
  <si>
    <t>PERDAS EM OPERAÇÕES DAY TRADE</t>
  </si>
  <si>
    <t>JUROS S/ CAPITAL PROPRIO</t>
  </si>
  <si>
    <t>REMUNERAÇÃO DE DEBENTURES</t>
  </si>
  <si>
    <t>JUROS PASSIVOS</t>
  </si>
  <si>
    <t>VARIAÇÕES MONETARIAS PASSIVAS</t>
  </si>
  <si>
    <t>TARIFA DE IMPORTAÇÃO</t>
  </si>
  <si>
    <t>EQUIVALENCIA PATRIMONIAL</t>
  </si>
  <si>
    <t>RESULTADO NEGATIVO DA EQUIVALENCIA PATRIMONIAL</t>
  </si>
  <si>
    <t>OUTRAS DESPESAS OPERACIONAIS</t>
  </si>
  <si>
    <t>RESULT. VENDAS/BAIXAS DO ATIVO IMOBILIZADO</t>
  </si>
  <si>
    <t>PERDAS NA VENDA DE ATIVO PERMANENTE</t>
  </si>
  <si>
    <t>PROVISÃO DE IRPJ E CSLL</t>
  </si>
  <si>
    <t>CONTRIBUIÇÃO SOCIAL SOBRE O LUCRO LIQUIDO</t>
  </si>
  <si>
    <t>IMPOSTO DE RENDA PESSOA JURIDICA</t>
  </si>
  <si>
    <t xml:space="preserve">IPI A RECOLHER </t>
  </si>
  <si>
    <t>PIS -  DIV ATIVA</t>
  </si>
  <si>
    <t>INSS S/ DESONERAÇÃO S/ FOPAG A RECOLHER</t>
  </si>
  <si>
    <t>2.1.9.02.013</t>
  </si>
  <si>
    <t>Obter Ajuda</t>
  </si>
  <si>
    <t>Data 
Dominio</t>
  </si>
  <si>
    <t>Data 
Contimatic</t>
  </si>
  <si>
    <t>HISTORICO COMPLETO</t>
  </si>
  <si>
    <t>Absoluto</t>
  </si>
  <si>
    <t>Importar</t>
  </si>
  <si>
    <t xml:space="preserve">SALDO EM </t>
  </si>
  <si>
    <t>PRESTAÇÃO DE SERVIÇOS CONF.</t>
  </si>
  <si>
    <t>VENDAS DE MERCADORIAS CONF.</t>
  </si>
  <si>
    <t>COMPRAS DE MERCADORIAS CONF.</t>
  </si>
  <si>
    <t>VALOR A COMPENSAR</t>
  </si>
  <si>
    <t xml:space="preserve">DEPRECIAÇÃO DO PERÍODO </t>
  </si>
  <si>
    <t>SERVIÇO TOMADO CONF.</t>
  </si>
  <si>
    <t>PROVISÃO DE FÉRIAS DO MÊS</t>
  </si>
  <si>
    <t>PROVISÃO INSS SOBRE FÉRIAS DO MÊS</t>
  </si>
  <si>
    <t>PROVISÃO FGTS SOBRE FÉRIAS DO MÊS</t>
  </si>
  <si>
    <t>PROVISÃO DE 13º SALÁRIO DO MÊS</t>
  </si>
  <si>
    <t>PROVISÃO INSS SOBRE 13º SALÁRIO DO MÊS</t>
  </si>
  <si>
    <t>VALOR A RECUPERAR</t>
  </si>
  <si>
    <t>VALOR A RECOLHER</t>
  </si>
  <si>
    <t>DEVOLUÇÃO DE MERCADORIAS CONF.</t>
  </si>
  <si>
    <t xml:space="preserve">AQUISIÇÃO DE IMOBILIZADO CONF. </t>
  </si>
  <si>
    <t>DEPÓSITO BANCÁRIO</t>
  </si>
  <si>
    <t>PAGO CONF.  DUPLICATA</t>
  </si>
  <si>
    <t>REFERENTE FOLHA DE PAGAMENTO DO MÊS</t>
  </si>
  <si>
    <t>INSS A RECOLHER DO MÊS</t>
  </si>
  <si>
    <t>FGTS A RECOLHER DO MÊS</t>
  </si>
  <si>
    <t>SALARIO FAMILIA DESTE MES</t>
  </si>
  <si>
    <t>REFERENTE A JUROS</t>
  </si>
  <si>
    <t>REFERENTE A MULTA</t>
  </si>
  <si>
    <t>REFERENTE DESCONTO CONCEDIDO</t>
  </si>
  <si>
    <t>REFERENTE DESCONTO OBTIDO</t>
  </si>
  <si>
    <t>DEVOLUÇÃO DE COMPRAS CONF.</t>
  </si>
  <si>
    <t>PROVISÃO FGTS SOBRE 13º SALÁRIO DO MÊS</t>
  </si>
  <si>
    <t>REFERENTE DESCONTOS DE FOLHA DO MÊS</t>
  </si>
  <si>
    <t>REFERENTE A PRÓ-LABORE DO MÊS</t>
  </si>
  <si>
    <t>CONTRIBUIÇÃO SINDICAL A RECOLHER DO MÊS</t>
  </si>
  <si>
    <t>REFERENTE A VALE TRANSPORTE DO MÊS</t>
  </si>
  <si>
    <t>IRRF A RECOLHER DO MÊS</t>
  </si>
  <si>
    <t>REFERENTE INSS DESCONTADO A MAIOR EM FÉRIAS DO MÊS</t>
  </si>
  <si>
    <t>REFERENTE A SALÁRIO FAMÍLIA DO MÊS</t>
  </si>
  <si>
    <t>REFERENTE A SALÁRIO MATERNIDADE DO MÊS</t>
  </si>
  <si>
    <t>REFERENTE DESCONTO DE ADTO. DE SALÁRIO DO MÊS</t>
  </si>
  <si>
    <t>REFERENTE A 13º SALÁRIO DO MÊS</t>
  </si>
  <si>
    <t>REFERENTE DESCONTOS DE 13º SALÁRIO DO MÊS</t>
  </si>
  <si>
    <t>REFERENTE A ADIANTAMENTO DE 13º SALÁRIO DO MÊS</t>
  </si>
  <si>
    <t>REFERENTE A FÉRIAS DO MÊS</t>
  </si>
  <si>
    <t>REFERENTE A DIFERENÇA DE FÉRIAS DO MÊS</t>
  </si>
  <si>
    <t>REFERENTE A PAGAMENTO DE FÉRIAS DO MÊS</t>
  </si>
  <si>
    <t>REFERENTE A PAGAMENTO DE RESCISÃO DO MÊS</t>
  </si>
  <si>
    <t>REFERENTE A APURAÇÃO DO RESULTADO DO EXERCÍCIO EM</t>
  </si>
  <si>
    <t>LANÇAMENTO DO CREDITO DE ICMS REF. AO ATIVO IMOBILIZADO DO MÊS #N</t>
  </si>
  <si>
    <t>COMPENSAÇÃO DE INSS NO MÊS</t>
  </si>
  <si>
    <t>REFERENTE DESCONTOS DE PRO-LABORE DO MÊS</t>
  </si>
  <si>
    <t>IRRF DE PRO-LABORE A RECOLHER DO MÊS</t>
  </si>
  <si>
    <t>IRRF DE ADIANTAMENTO DE SALÁRIO DO MÊS</t>
  </si>
  <si>
    <t>PROVISÃO PIS SOBRE 13º SALÁRIO DO MÊS</t>
  </si>
  <si>
    <t>PROVISÃO PIS SOBRE FÉRIAS DO MÊS</t>
  </si>
  <si>
    <t>PIS S/ FOLHA A RECOLHER DO MÊS</t>
  </si>
  <si>
    <t>PAGAMENTO DE ENERGIA ELÉTRICA NESSA DATA</t>
  </si>
  <si>
    <t>REFERENTE DESCONTOS</t>
  </si>
  <si>
    <t xml:space="preserve">COMPRAS PARA USO E CONSUMO CONF. </t>
  </si>
  <si>
    <t>SIMPLES NACIONAL A RECOLHER DO MES</t>
  </si>
  <si>
    <t>VALOR DO CRÉDITO ICMS NÃO APROVEITADO EM RELAÇÃO À OPERAÇÕES ISENTAS</t>
  </si>
  <si>
    <t xml:space="preserve">RECEITA NA ALIENAÇÃO </t>
  </si>
  <si>
    <t xml:space="preserve">CUSTO REFERENTE A ALIENAÇÃO </t>
  </si>
  <si>
    <t xml:space="preserve">BAIXA DA DEPRECIAÇÃO ACUMULADA PELA ALIENAÇÃO </t>
  </si>
  <si>
    <t>REFERENTE A MATERIAL DE ESCRITÓRIO</t>
  </si>
  <si>
    <t>PAGTO DESPESAS CONF.</t>
  </si>
  <si>
    <t>APROPRIAÇÃO DE DESP. C/ALUGUEL REF.</t>
  </si>
  <si>
    <t xml:space="preserve">DEBITO </t>
  </si>
  <si>
    <t xml:space="preserve">VLR REF. </t>
  </si>
  <si>
    <t>COMPRAS PARA INDUSTRIALIZAÇÃO CONF.</t>
  </si>
  <si>
    <t>DEVOLUÇÃO DE PRODUTOS CONF.</t>
  </si>
  <si>
    <t>BONIFICAÇÃO CONF.</t>
  </si>
  <si>
    <t>INDUSTRIALIZAÇÃO POR TERCEIRO CONF.</t>
  </si>
  <si>
    <t xml:space="preserve">ANULAÇÃO DE FRETE CONF. </t>
  </si>
  <si>
    <t>AQUISIÇÃO DE ENERGIA ELETRICA CONF.</t>
  </si>
  <si>
    <t xml:space="preserve">DESPESA COM TELEFONE CONF. </t>
  </si>
  <si>
    <t>AQUISIÇÃO DE FRETE CONF.</t>
  </si>
  <si>
    <t>AQUISIÇÃO PARA CONSUMO CONF.</t>
  </si>
  <si>
    <t>AQUISIÇÃO DE COMBUSTIVEIS CONF.</t>
  </si>
  <si>
    <t xml:space="preserve">VENDAS DE PRODUTOS CONF. </t>
  </si>
  <si>
    <t>SERVIÇO DE BENEFICIAMENTO CONF.</t>
  </si>
  <si>
    <t>ICMS ST RETIDO CONF.</t>
  </si>
  <si>
    <t>IRRF S/</t>
  </si>
  <si>
    <t>CONTRIB. FEDERAIS RETIDAS S/</t>
  </si>
  <si>
    <t>ISS RETIDO S/</t>
  </si>
  <si>
    <t>INSS RETIDO S/</t>
  </si>
  <si>
    <t>PAGTO CONF. NF.</t>
  </si>
  <si>
    <t>PIS SOBRE FATURAMENTO</t>
  </si>
  <si>
    <t>COFINS SOBRE FATURAMENTO</t>
  </si>
  <si>
    <t>ISS SOBRE FATURAMENTO</t>
  </si>
  <si>
    <t xml:space="preserve">IRPJ SOBRE FATUMENTO </t>
  </si>
  <si>
    <t>CSLL SOBRE FATURAMENTO</t>
  </si>
  <si>
    <t xml:space="preserve">PIS RETIDO CONF. </t>
  </si>
  <si>
    <t>COFINS RETIDO CONF.</t>
  </si>
  <si>
    <t>CSLL RETIDO CONF.</t>
  </si>
  <si>
    <t xml:space="preserve">DIFERENCIAL DE ALIQUOTAS CONF. </t>
  </si>
  <si>
    <t xml:space="preserve">ICMS S/VENDAS </t>
  </si>
  <si>
    <t>ICMS A RECUPERAR CONF. NF</t>
  </si>
  <si>
    <t xml:space="preserve">ICMS S/DEVOLUÇÃO CONF. </t>
  </si>
  <si>
    <t>COMPENSAÇÃO DE ICMS</t>
  </si>
  <si>
    <t>ICMS A RECOLHER CONF. APURAÇÃO</t>
  </si>
  <si>
    <t>PIS A RECOLHER CONF. APURAÇÃO</t>
  </si>
  <si>
    <t xml:space="preserve">PIS A RECUPERAR CONF. </t>
  </si>
  <si>
    <t>COFINS A RECOLHER CONF. APURAÇÃO</t>
  </si>
  <si>
    <t xml:space="preserve">COFINS A RECUPERAR CONF. </t>
  </si>
  <si>
    <t>PIS S/DEVOLUÇÃO</t>
  </si>
  <si>
    <t>COFINS S/DEVOLUÇÃO</t>
  </si>
  <si>
    <t>INSS S/DESONERAÇÃO DA FOLHA DE PAGAMENTO N/MES</t>
  </si>
  <si>
    <t xml:space="preserve">AQUISIÇÃO DE INSUMOS CONF. </t>
  </si>
  <si>
    <t>CREDITO DE PIS S/DEPRECIAÇÃO N/MES</t>
  </si>
  <si>
    <t>CREDITO DE COFINS S/DEPRECIAÇÃO N/MES</t>
  </si>
  <si>
    <t xml:space="preserve"> </t>
  </si>
  <si>
    <t>RECEITA DE LOCAÇÃO CONF.</t>
  </si>
  <si>
    <t>COMODATO CONF.</t>
  </si>
  <si>
    <t>DIFERENCIAL DE ALIQUOTAS</t>
  </si>
  <si>
    <t xml:space="preserve">PERDA DE ESTOQUE CONF. </t>
  </si>
  <si>
    <t>LOCAÇÃO CONF. FATURA</t>
  </si>
  <si>
    <t>IRPJ APURADO NO TRIMESTRE</t>
  </si>
  <si>
    <t>CSLL APURADA NO TRIMESTRE</t>
  </si>
  <si>
    <t>COMPENSAÇÃO DE IRRF NO TRIMESTRE</t>
  </si>
  <si>
    <t>HISTORICO</t>
  </si>
  <si>
    <t>Data</t>
  </si>
  <si>
    <t>Deb</t>
  </si>
  <si>
    <t>Cred</t>
  </si>
  <si>
    <t>Hist</t>
  </si>
  <si>
    <t>Desc</t>
  </si>
  <si>
    <t>Importado 
em:</t>
  </si>
  <si>
    <t>Importado 
Por:</t>
  </si>
  <si>
    <t>Nome do Arquivo:</t>
  </si>
  <si>
    <t>Mês:</t>
  </si>
  <si>
    <t>6000|X||||</t>
  </si>
  <si>
    <t>Pasta:</t>
  </si>
  <si>
    <t>Planilha:</t>
  </si>
  <si>
    <t>#COD</t>
  </si>
  <si>
    <t>1.1.2.02.001</t>
  </si>
  <si>
    <t>1.1.3.06.006</t>
  </si>
  <si>
    <t>1.2.1.01.001.0001</t>
  </si>
  <si>
    <t>1.2.1.01.001.0002</t>
  </si>
  <si>
    <t>1.2.1.02.007.0001</t>
  </si>
  <si>
    <t>2.2.1.01.006.0001</t>
  </si>
  <si>
    <t>2.2.1.02.001.0002</t>
  </si>
  <si>
    <t>2.2.1.03.002.0001</t>
  </si>
  <si>
    <t>2.2.1.03.002.0003</t>
  </si>
  <si>
    <t>2.2.1.03.002.0005</t>
  </si>
  <si>
    <t>2.2.1.03.002.0007</t>
  </si>
  <si>
    <t>2.2.1.03.002.0009</t>
  </si>
  <si>
    <t>3.1.1.04</t>
  </si>
  <si>
    <t>3.1.1.04.001</t>
  </si>
  <si>
    <t>(-) PROVISAO PARA LIQUIDAÇÃO DUVIDOSA</t>
  </si>
  <si>
    <t>(-) BANCO SANTANDER</t>
  </si>
  <si>
    <t>ADIANTAMENTO 13º SALÁRIO</t>
  </si>
  <si>
    <t>COFINS RETIDO NA FONTE</t>
  </si>
  <si>
    <t>MAQUINAS E EQUIPAMENTOS</t>
  </si>
  <si>
    <t>MÓVEIS E UTENSILIOS</t>
  </si>
  <si>
    <t>EQUIPTOS. DE PROC. ELETRONICOS DE DADOS</t>
  </si>
  <si>
    <t>(-) MAQUINAS E EQUIPAMENTOS</t>
  </si>
  <si>
    <t>(-) MÓVEIS E UTENSILIOS</t>
  </si>
  <si>
    <t>(-) EQUIPTOS. DE PROC. ELETRONICOS DE DADOS</t>
  </si>
  <si>
    <t>BNI BRASIL - BUSINESS NETWORK INTERNATIO</t>
  </si>
  <si>
    <t>CATALYST SERVICES BRASIL LTDA</t>
  </si>
  <si>
    <t>CERTISIGN CERTIFICADORA DIGITAL S/A</t>
  </si>
  <si>
    <t>GOOGLE BRASIL INTERNET LTDA.</t>
  </si>
  <si>
    <t>ICMS A RECOLHER</t>
  </si>
  <si>
    <t>IPI A RECOLHER</t>
  </si>
  <si>
    <t>INSS RETIDO A RECOLHER</t>
  </si>
  <si>
    <t>CONTRIBUIÇÃO NEGOCIAL A RECOLHER</t>
  </si>
  <si>
    <t>TFF/ TFLI/ TFILF A PAGAR</t>
  </si>
  <si>
    <t>GILBERTO BIANCHINI PONTES</t>
  </si>
  <si>
    <t>PARC. INSS - PED. 1375926 - COD. 4308</t>
  </si>
  <si>
    <t>RECEITA BRUTA</t>
  </si>
  <si>
    <t>ALUGUEIS</t>
  </si>
  <si>
    <t>[84691] KSB</t>
  </si>
  <si>
    <t>[79916] PRO INT</t>
  </si>
  <si>
    <t>[21996] MILAFAB</t>
  </si>
  <si>
    <t>[10610] ELETROT YAMADA</t>
  </si>
  <si>
    <t>[5748] RUBINA</t>
  </si>
  <si>
    <t>[8271] SUPREMY</t>
  </si>
  <si>
    <t>[411799] COML ARICANDUVA</t>
  </si>
  <si>
    <t>[9721] BRUMAFER</t>
  </si>
  <si>
    <t>[1045815] WEG DRIVES</t>
  </si>
  <si>
    <t>[37486] A C COMERCIO</t>
  </si>
  <si>
    <t>[26542] ACOTEC</t>
  </si>
  <si>
    <t>[2190933] WEG EQUIPS</t>
  </si>
  <si>
    <t>[295961] KSB</t>
  </si>
  <si>
    <t>[68479] ACIONAC</t>
  </si>
  <si>
    <t>[295691] KSB</t>
  </si>
  <si>
    <t>[974787] IMP RADIAL</t>
  </si>
  <si>
    <t>[9738] BRUMAFER</t>
  </si>
  <si>
    <t>[10329] SKYLL</t>
  </si>
  <si>
    <t>[2192622] WEG EQUIPS</t>
  </si>
  <si>
    <t>[80066] PRO INT</t>
  </si>
  <si>
    <t>[342] JOSE R AVELAR</t>
  </si>
  <si>
    <t>[30] SELOSBRASIL</t>
  </si>
  <si>
    <t>[1048936] WEG DRIVES</t>
  </si>
  <si>
    <t>[5586973] DINAMICA</t>
  </si>
  <si>
    <t>[2199381] WEG EQUIPS</t>
  </si>
  <si>
    <t>[80205] PRO INT</t>
  </si>
  <si>
    <t>[9748] BRUMAFER</t>
  </si>
  <si>
    <t>[413843] COML ARICANDUVA</t>
  </si>
  <si>
    <t>[84084] KSB</t>
  </si>
  <si>
    <t>[84085] KSB</t>
  </si>
  <si>
    <t>[27391] WEG PAUMAR</t>
  </si>
  <si>
    <t>[977531] IMP RADIAL</t>
  </si>
  <si>
    <t>[977434] IMP RADIAL</t>
  </si>
  <si>
    <t>[8077] TRANSGAS</t>
  </si>
  <si>
    <t>[290519] KSB</t>
  </si>
  <si>
    <t>[3646] ENGETANK</t>
  </si>
  <si>
    <t>[2139] FLUID SYSTEM</t>
  </si>
  <si>
    <t>[80334] PRO INT</t>
  </si>
  <si>
    <t>[5794] RUBINA</t>
  </si>
  <si>
    <t>[22131] MILAFAB</t>
  </si>
  <si>
    <t>[22130] MILAFAB</t>
  </si>
  <si>
    <t>[26453] BOMBAS PAULO</t>
  </si>
  <si>
    <t>[6797] SERRON</t>
  </si>
  <si>
    <t>[2206486] WEG EQUIPS</t>
  </si>
  <si>
    <t>[32550] GUARUPAR</t>
  </si>
  <si>
    <t>[4190] ALLPLAC</t>
  </si>
  <si>
    <t>[68804] ACIONAC</t>
  </si>
  <si>
    <t>[297] KILLERMAN</t>
  </si>
  <si>
    <t>[297697] KSB</t>
  </si>
  <si>
    <t>[10650] ELETROT YAMADA</t>
  </si>
  <si>
    <t>[979619] IMP RADIAL</t>
  </si>
  <si>
    <t>[153] SELOSBRASIL</t>
  </si>
  <si>
    <t>[291126] KSB</t>
  </si>
  <si>
    <t>[297910] KSB</t>
  </si>
  <si>
    <t>[5639678] DINAMICA</t>
  </si>
  <si>
    <t>[87730] ELETRO MET BRUM</t>
  </si>
  <si>
    <t>[26616] ELETROMAG</t>
  </si>
  <si>
    <t>[980285] IMP RADIAL</t>
  </si>
  <si>
    <t>[355] SOLLO MIG</t>
  </si>
  <si>
    <t>[14509] WEG PAUMAR</t>
  </si>
  <si>
    <t>[221264] WEG EQUIPS</t>
  </si>
  <si>
    <t>[56599] DINAMICA</t>
  </si>
  <si>
    <t>[83732] KSB</t>
  </si>
  <si>
    <t>[1061446] WEG DRIVES</t>
  </si>
  <si>
    <t>[297472] KSB</t>
  </si>
  <si>
    <t>[2209802] WEG EQUIPS</t>
  </si>
  <si>
    <t>[417621] COML ARICANDUVA</t>
  </si>
  <si>
    <t>[80597] PRO INT</t>
  </si>
  <si>
    <t>[12960] QUALIVED</t>
  </si>
  <si>
    <t>[19553] PASCUTI</t>
  </si>
  <si>
    <t>[299369] KSB</t>
  </si>
  <si>
    <t>[21389] ETC LUNE</t>
  </si>
  <si>
    <t>[473880] RISSO</t>
  </si>
  <si>
    <t>[256711] TRANSJOI</t>
  </si>
  <si>
    <t>[258976] TRANSJOI</t>
  </si>
  <si>
    <t>[21468] ETC LUNE</t>
  </si>
  <si>
    <t>[21473] ETC LUNE</t>
  </si>
  <si>
    <t>[482333] RISSO</t>
  </si>
  <si>
    <t>[21555] ETC LUNE</t>
  </si>
  <si>
    <t>[83808] KSB</t>
  </si>
  <si>
    <t>[14054] ROOMAR</t>
  </si>
  <si>
    <t>[83833] KSB</t>
  </si>
  <si>
    <t>[80688] PRO INT</t>
  </si>
  <si>
    <t>[10673] ELETROT YAMADA</t>
  </si>
  <si>
    <t>[83939] KSB</t>
  </si>
  <si>
    <t>[21392] FLUID SYSTEM</t>
  </si>
  <si>
    <t>[9775] BRUMAFER</t>
  </si>
  <si>
    <t>[5838] RUBINA</t>
  </si>
  <si>
    <t>[19587] PASCUTI</t>
  </si>
  <si>
    <t>[2437] FLUID</t>
  </si>
  <si>
    <t>[22239] MILAFAB</t>
  </si>
  <si>
    <t>[10434] SKYLL</t>
  </si>
  <si>
    <t>[982016] RADIAL</t>
  </si>
  <si>
    <t>[84086] KSB</t>
  </si>
  <si>
    <t>[28510] SUPERGASBRAS</t>
  </si>
  <si>
    <t>[293752] KSB</t>
  </si>
  <si>
    <t>[2139] FLUID</t>
  </si>
  <si>
    <t>[8120] TRANSGAS</t>
  </si>
  <si>
    <t>[316] KILLERMAN</t>
  </si>
  <si>
    <t>[57318] DINAMICA</t>
  </si>
  <si>
    <t>[619] L B J MAGAZINE</t>
  </si>
  <si>
    <t>[80854] PRO INT</t>
  </si>
  <si>
    <t>[84323] KSB</t>
  </si>
  <si>
    <t>[84449] KSB</t>
  </si>
  <si>
    <t>[84325] KSB</t>
  </si>
  <si>
    <t>[13931] L B R CONFECCOES</t>
  </si>
  <si>
    <t>[987123] RADIAL</t>
  </si>
  <si>
    <t>[986819] RADIAL</t>
  </si>
  <si>
    <t>[10477] SKYLL</t>
  </si>
  <si>
    <t>[294455] KSB</t>
  </si>
  <si>
    <t>[285] MG PINGO</t>
  </si>
  <si>
    <t>[9820] BRUMAFER</t>
  </si>
  <si>
    <t>[84541] KSB</t>
  </si>
  <si>
    <t>[980285] RADIAL</t>
  </si>
  <si>
    <t>[2661] FLUID</t>
  </si>
  <si>
    <t>[10704] ELETROT YAMADA</t>
  </si>
  <si>
    <t>[2242] RUBINA</t>
  </si>
  <si>
    <t>[421447] COML ARICANDUVA</t>
  </si>
  <si>
    <t>[22314] MILAFAB</t>
  </si>
  <si>
    <t>[84614] KSB</t>
  </si>
  <si>
    <t>[84615] KSB</t>
  </si>
  <si>
    <t>[84702] KSB</t>
  </si>
  <si>
    <t>[295086] KSB</t>
  </si>
  <si>
    <t>[988829] RADIAL</t>
  </si>
  <si>
    <t>[10500] SKYLL</t>
  </si>
  <si>
    <t>[26843] ELETROMAG</t>
  </si>
  <si>
    <t>[69833] ACIONAC</t>
  </si>
  <si>
    <t>[84888] KSB</t>
  </si>
  <si>
    <t>[295919] KSB</t>
  </si>
  <si>
    <t>[84887] KSB</t>
  </si>
  <si>
    <t>[84889] KSB</t>
  </si>
  <si>
    <t>[84890] KSB</t>
  </si>
  <si>
    <t>[81386] PRO INT</t>
  </si>
  <si>
    <t>[2222833] WEG EQUIPS</t>
  </si>
  <si>
    <t>[361] SOLLO MIG</t>
  </si>
  <si>
    <t>[69868] ACIONAC</t>
  </si>
  <si>
    <t>[295690] KSB</t>
  </si>
  <si>
    <t>[10507] SKYLL</t>
  </si>
  <si>
    <t>[263235] TRANSJOI</t>
  </si>
  <si>
    <t>[21690] ETC LUNE</t>
  </si>
  <si>
    <t>[6518] ITJ FINGER</t>
  </si>
  <si>
    <t>[265450] TRANSJOI</t>
  </si>
  <si>
    <t>[21794] ETC LUNE</t>
  </si>
  <si>
    <t>6100|02/01/2018|505|519|3364,88|70|[84691] KSB||||</t>
  </si>
  <si>
    <t>6100|02/01/2018|505|519|744|70|[79916] PRO INT||||</t>
  </si>
  <si>
    <t>6100|02/01/2018|505|519|1221,47|70|[21996] MILAFAB||||</t>
  </si>
  <si>
    <t>6100|02/01/2018|505|519|312|70|[10610] ELETROT YAMADA||||</t>
  </si>
  <si>
    <t>6100|02/01/2018|505|519|349|70|[5748] RUBINA||||</t>
  </si>
  <si>
    <t>6100|02/01/2018|505|519|148|70|[8271] SUPREMY||||</t>
  </si>
  <si>
    <t>6100|02/01/2018|505|519|207,47|70|[411799] COML ARICANDUVA||||</t>
  </si>
  <si>
    <t>6100|03/01/2018|505|519|744,5|70|[9721] BRUMAFER||||</t>
  </si>
  <si>
    <t>6100|03/01/2018|505|519|2451,38|70|[1045815] WEG DRIVES||||</t>
  </si>
  <si>
    <t>6100|03/01/2018|505|519|325,6|70|[37486] A C COMERCIO||||</t>
  </si>
  <si>
    <t>6100|03/01/2018|505|519|610|70|[26542] ACOTEC||||</t>
  </si>
  <si>
    <t>6100|03/01/2018|505|519|262,92|70|[2190933] WEG EQUIPS||||</t>
  </si>
  <si>
    <t>6100|04/01/2018|505|519|1359,83|70|[295961] KSB||||</t>
  </si>
  <si>
    <t>6100|04/01/2018|505|519|1374,84|70|[68479] ACIONAC||||</t>
  </si>
  <si>
    <t>6100|04/01/2018|505|519|577,09|70|[295691] KSB||||</t>
  </si>
  <si>
    <t>6100|04/01/2018|505|519|885,63|70|[974787] IMP RADIAL||||</t>
  </si>
  <si>
    <t>6100|04/01/2018|505|519|551,5|70|[9738] BRUMAFER||||</t>
  </si>
  <si>
    <t>6100|04/01/2018|505|519|155,6|70|[10329] SKYLL||||</t>
  </si>
  <si>
    <t>6100|04/01/2018|505|519|184,02|70|[2192622] WEG EQUIPS||||</t>
  </si>
  <si>
    <t>6100|05/01/2018|505|519|2045|70|[80066] PRO INT||||</t>
  </si>
  <si>
    <t>6100|05/01/2018|505|519|259,95|70|[342] JOSE R AVELAR||||</t>
  </si>
  <si>
    <t>6100|08/01/2018|505|519|2518,95|70|[30] SELOSBRASIL||||</t>
  </si>
  <si>
    <t>6100|08/01/2018|505|519|121,99|70|[1048936] WEG DRIVES||||</t>
  </si>
  <si>
    <t>6100|06/01/2018|505|519|2256,12|70|[5586973] DINAMICA||||</t>
  </si>
  <si>
    <t>6100|08/01/2018|505|519|4400,68|70|[2199381] WEG EQUIPS||||</t>
  </si>
  <si>
    <t>6100|09/01/2018|505|519|1218|70|[80205] PRO INT||||</t>
  </si>
  <si>
    <t>6100|11/01/2018|505|519|551,5|70|[9738] BRUMAFER||||</t>
  </si>
  <si>
    <t>6100|11/01/2018|505|519|1221,47|70|[21996] MILAFAB||||</t>
  </si>
  <si>
    <t>6100|11/01/2018|505|519|509|70|[9748] BRUMAFER||||</t>
  </si>
  <si>
    <t>6100|11/01/2018|505|519|267,73|70|[413843] COML ARICANDUVA||||</t>
  </si>
  <si>
    <t>6100|12/01/2018|505|519|55163,25|70|[84084] KSB||||</t>
  </si>
  <si>
    <t>6100|12/01/2018|505|519|61323,07|70|[84085] KSB||||</t>
  </si>
  <si>
    <t>6100|12/01/2018|505|519|710,84|70|[27391] WEG PAUMAR||||</t>
  </si>
  <si>
    <t>6100|12/01/2018|505|519|336|70|[977531] IMP RADIAL||||</t>
  </si>
  <si>
    <t>6100|12/01/2018|505|519|708,55|70|[977434] IMP RADIAL||||</t>
  </si>
  <si>
    <t>6100|12/01/2018|505|519|130|70|[8077] TRANSGAS||||</t>
  </si>
  <si>
    <t>6100|15/01/2018|505|519|4069,24|70|[290519] KSB||||</t>
  </si>
  <si>
    <t>6100|15/01/2018|505|519|25200|70|[3646] ENGETANK||||</t>
  </si>
  <si>
    <t>6100|15/01/2018|505|519|1191,57|70|[2139] FLUID SYSTEM||||</t>
  </si>
  <si>
    <t>6100|15/01/2018|505|519|2221|70|[80334] PRO INT||||</t>
  </si>
  <si>
    <t>6100|15/01/2018|505|519|1090|70|[5794] RUBINA||||</t>
  </si>
  <si>
    <t>6100|15/01/2018|505|519|805,18|70|[22131] MILAFAB||||</t>
  </si>
  <si>
    <t>6100|15/01/2018|505|519|574,93|70|[22130] MILAFAB||||</t>
  </si>
  <si>
    <t>6100|16/01/2018|505|519|1740|70|[26453] BOMBAS PAULO||||</t>
  </si>
  <si>
    <t>6100|17/01/2018|505|519|1078,65|70|[6797] SERRON||||</t>
  </si>
  <si>
    <t>6100|17/01/2018|505|519|5033,36|70|[2206486] WEG EQUIPS||||</t>
  </si>
  <si>
    <t>6100|17/01/2018|505|519|481,4|70|[32550] GUARUPAR||||</t>
  </si>
  <si>
    <t>6100|18/01/2018|505|519|740|70|[4190] ALLPLAC||||</t>
  </si>
  <si>
    <t>6100|18/01/2018|505|519|2236,06|70|[68804] ACIONAC||||</t>
  </si>
  <si>
    <t>6100|18/01/2018|505|519|509|70|[9748] BRUMAFER||||</t>
  </si>
  <si>
    <t>6100|19/01/2018|505|519|966,1|70|[297] KILLERMAN||||</t>
  </si>
  <si>
    <t>6100|19/01/2018|505|519|1367,44|70|[297697] KSB||||</t>
  </si>
  <si>
    <t>6100|19/01/2018|505|519|658|70|[10650] ELETROT YAMADA||||</t>
  </si>
  <si>
    <t>6100|19/01/2018|505|519|708,55|70|[977434] IMP RADIAL||||</t>
  </si>
  <si>
    <t>6100|19/01/2018|505|519|335,78|70|[979619] IMP RADIAL||||</t>
  </si>
  <si>
    <t>6100|22/01/2018|505|519|2597|70|[153] SELOSBRASIL||||</t>
  </si>
  <si>
    <t>6100|22/01/2018|505|519|4900,7|70|[291126] KSB||||</t>
  </si>
  <si>
    <t>6100|22/01/2018|505|519|1221,47|70|[21996] MILAFAB||||</t>
  </si>
  <si>
    <t>6100|22/01/2018|505|519|252,64|70|[297910] KSB||||</t>
  </si>
  <si>
    <t>6100|20/01/2018|505|519|2220,49|70|[5639678] DINAMICA||||</t>
  </si>
  <si>
    <t>6100|23/01/2018|505|519|574,93|70|[22130] MILAFAB||||</t>
  </si>
  <si>
    <t>6100|23/01/2018|505|519|1722,97|70|[87730] ELETRO MET BRUM||||</t>
  </si>
  <si>
    <t>6100|23/01/2018|505|519|245|70|[26616] ELETROMAG||||</t>
  </si>
  <si>
    <t>6100|24/01/2018|505|519|476|70|[980285] IMP RADIAL||||</t>
  </si>
  <si>
    <t>6100|24/01/2018|505|519|481,39|70|[32550] GUARUPAR||||</t>
  </si>
  <si>
    <t>6100|24/01/2018|505|519|294|70|[355] SOLLO MIG||||</t>
  </si>
  <si>
    <t>6100|25/01/2018|505|519|878,5|70|[14509] WEG PAUMAR||||</t>
  </si>
  <si>
    <t>6100|26/01/2018|505|519|708,55|70|[977434] IMP RADIAL||||</t>
  </si>
  <si>
    <t>6100|26/01/2018|505|519|3658,92|70|[221264] WEG EQUIPS||||</t>
  </si>
  <si>
    <t>6100|26/01/2018|505|519|284,4|70|[56599] DINAMICA||||</t>
  </si>
  <si>
    <t>6100|29/01/2018|505|519|6136,62|70|[83732] KSB||||</t>
  </si>
  <si>
    <t>6100|29/01/2018|505|519|10899,77|70|[1061446] WEG DRIVES||||</t>
  </si>
  <si>
    <t>6100|29/01/2018|505|519|5399,86|70|[297472] KSB||||</t>
  </si>
  <si>
    <t>6100|29/01/2018|505|519|1013,42|70|[2209802] WEG EQUIPS||||</t>
  </si>
  <si>
    <t>6100|29/01/2018|505|519|1090|70|[5794] RUBINA||||</t>
  </si>
  <si>
    <t>6100|29/01/2018|505|519|805,18|70|[22131] MILAFAB||||</t>
  </si>
  <si>
    <t>6100|30/01/2018|505|519|340,48|70|[417621] COML ARICANDUVA||||</t>
  </si>
  <si>
    <t>6100|31/01/2018|505|519|745|70|[80597] PRO INT||||</t>
  </si>
  <si>
    <t>6100|31/01/2018|505|519|352,08|70|[12960] QUALIVED||||</t>
  </si>
  <si>
    <t>6100|31/01/2018|505|519|407,23|70|[19553] PASCUTI||||</t>
  </si>
  <si>
    <t>6100|31/01/2018|505|519|29,52|70|[299369] KSB||||</t>
  </si>
  <si>
    <t>6100|02/01/2018|688|519|1323,41|70|[21389] ETC LUNE||||</t>
  </si>
  <si>
    <t>6100|02/01/2018|688|519|516,03|70|[473880] RISSO||||</t>
  </si>
  <si>
    <t>6100|02/01/2018|688|519|97,67|70|[256711] TRANSJOI||||</t>
  </si>
  <si>
    <t>6100|10/01/2018|688|519|96,11|70|[258976] TRANSJOI||||</t>
  </si>
  <si>
    <t>6100|15/01/2018|688|519|1041,78|70|[21468] ETC LUNE||||</t>
  </si>
  <si>
    <t>6100|19/01/2018|688|519|260,02|70|[21473] ETC LUNE||||</t>
  </si>
  <si>
    <t>6100|30/01/2018|688|519|368,46|70|[482333] RISSO||||</t>
  </si>
  <si>
    <t>6100|31/01/2018|688|519|792,13|70|[21555] ETC LUNE||||</t>
  </si>
  <si>
    <t>6100|01/02/2018|505|519|1020,04|70|[83808] KSB||||</t>
  </si>
  <si>
    <t>6100|01/02/2018|505|519|901|70|[14054] ROOMAR||||</t>
  </si>
  <si>
    <t>6100|02/02/2018|505|519|574,93|70|[22130] MILAFAB||||</t>
  </si>
  <si>
    <t>6100|05/02/2018|505|519|9581,71|70|[83833] KSB||||</t>
  </si>
  <si>
    <t>6100|05/02/2018|505|519|1288|70|[80688] PRO INT||||</t>
  </si>
  <si>
    <t>6100|05/02/2018|505|519|888|70|[10673] ELETROT YAMADA||||</t>
  </si>
  <si>
    <t>6100|06/02/2018|505|519|1286,94|70|[83939] KSB||||</t>
  </si>
  <si>
    <t>6100|14/02/2018|505|519|1191,57|70|[21392] FLUID SYSTEM||||</t>
  </si>
  <si>
    <t>6100|06/02/2018|505|519|476|70|[9775] BRUMAFER||||</t>
  </si>
  <si>
    <t>6100|06/02/2018|505|519|674|70|[5838] RUBINA||||</t>
  </si>
  <si>
    <t>6100|07/02/2018|505|519|407,24|70|[19553] PASCUTI||||</t>
  </si>
  <si>
    <t>6100|07/02/2018|505|519|308,2|70|[19587] PASCUTI||||</t>
  </si>
  <si>
    <t>6100|08/02/2018|505|519|1300,82|70|[2437] FLUID||||</t>
  </si>
  <si>
    <t>6100|08/02/2018|505|519|1062,84|70|[22239] MILAFAB||||</t>
  </si>
  <si>
    <t>6100|08/02/2018|505|519|313,32|70|[10434] SKYLL||||</t>
  </si>
  <si>
    <t>6100|08/02/2018|505|519|577,92|70|[982016] RADIAL||||</t>
  </si>
  <si>
    <t>6100|14/02/2018|505|519|4440,38|70|[84086] KSB||||</t>
  </si>
  <si>
    <t>6100|14/02/2018|505|519|25200|70|[3646] ENGETANK||||</t>
  </si>
  <si>
    <t>6100|14/02/2018|505|519|4069,24|70|[290519] KSB||||</t>
  </si>
  <si>
    <t>6100|14/02/2018|505|519|3081,59|70|[28510] SUPERGASBRAS||||</t>
  </si>
  <si>
    <t>6100|14/02/2018|505|519|3369,09|70|[293752] KSB||||</t>
  </si>
  <si>
    <t>6100|14/02/2018|505|519|1101,57|70|[2139] FLUID||||</t>
  </si>
  <si>
    <t>6100|14/02/2018|505|519|805,18|70|[22131] MILAFAB||||</t>
  </si>
  <si>
    <t>6100|14/02/2018|505|519|710,84|70|[27391] WEG PAUMAR||||</t>
  </si>
  <si>
    <t>6100|14/02/2018|505|519|260|70|[8120] TRANSGAS||||</t>
  </si>
  <si>
    <t>6100|10/02/2018|505|519|1136,9|70|[316] KILLERMAN||||</t>
  </si>
  <si>
    <t>6100|10/02/2018|505|519|742|70|[57318] DINAMICA||||</t>
  </si>
  <si>
    <t>6100|16/02/2018|505|519|525|70|[619] L B J MAGAZINE||||</t>
  </si>
  <si>
    <t>6100|16/02/2018|505|519|1547|70|[80854] PRO INT||||</t>
  </si>
  <si>
    <t>6100|19/02/2018|505|519|4585,68|70|[84323] KSB||||</t>
  </si>
  <si>
    <t>6100|19/02/2018|505|519|4790,85|70|[84449] KSB||||</t>
  </si>
  <si>
    <t>6100|19/02/2018|505|519|2995,01|70|[84325] KSB||||</t>
  </si>
  <si>
    <t>6100|19/02/2018|505|519|487,04|70|[13931] L B R CONFECCOES||||</t>
  </si>
  <si>
    <t>6100|19/02/2018|505|519|567,73|70|[987123] RADIAL||||</t>
  </si>
  <si>
    <t>6100|19/02/2018|505|519|481,6|70|[986819] RADIAL||||</t>
  </si>
  <si>
    <t>6100|19/02/2018|505|519|143|70|[10477] SKYLL||||</t>
  </si>
  <si>
    <t>6100|20/02/2018|505|519|4900,7|70|[291126] KSB||||</t>
  </si>
  <si>
    <t>6100|20/02/2018|505|519|3220,57|70|[294455] KSB||||</t>
  </si>
  <si>
    <t>6100|20/02/2018|505|519|120|70|[285] MG PINGO||||</t>
  </si>
  <si>
    <t>6100|21/02/2018|505|519|902,66|70|[9820] BRUMAFER||||</t>
  </si>
  <si>
    <t>6100|21/02/2018|505|519|2790,29|70|[84541] KSB||||</t>
  </si>
  <si>
    <t>6100|21/02/2018|505|519|476|70|[980285] RADIAL||||</t>
  </si>
  <si>
    <t>6100|21/02/2018|505|519|716,71|70|[2661] FLUID||||</t>
  </si>
  <si>
    <t>6100|21/02/2018|505|519|357|70|[10704] ELETROT YAMADA||||</t>
  </si>
  <si>
    <t>6100|22/02/2018|505|519|217|70|[2242] RUBINA||||</t>
  </si>
  <si>
    <t>6100|22/02/2018|505|519|237,75|70|[421447] COML ARICANDUVA||||</t>
  </si>
  <si>
    <t>6100|22/02/2018|505|519|658,53|70|[22314] MILAFAB||||</t>
  </si>
  <si>
    <t>6100|23/02/2018|505|519|1062,85|70|[22239] MILAFAB||||</t>
  </si>
  <si>
    <t>6100|26/02/2018|505|519|5486,42|70|[84614] KSB||||</t>
  </si>
  <si>
    <t>6100|26/02/2018|505|519|6414,08|70|[84615] KSB||||</t>
  </si>
  <si>
    <t>6100|26/02/2018|505|519|4769,49|70|[84702] KSB||||</t>
  </si>
  <si>
    <t>6100|26/02/2018|505|519|1155,81|70|[295086] KSB||||</t>
  </si>
  <si>
    <t>6100|26/02/2018|505|519|224,67|70|[988829] RADIAL||||</t>
  </si>
  <si>
    <t>6100|26/02/2018|505|519|308,1|70|[10500] SKYLL||||</t>
  </si>
  <si>
    <t>6100|26/02/2018|505|519|143,6|70|[26843] ELETROMAG||||</t>
  </si>
  <si>
    <t>6100|27/02/2018|505|519|303,49|70|[69833] ACIONAC||||</t>
  </si>
  <si>
    <t>6100|28/02/2018|505|519|5170,19|70|[84888] KSB||||</t>
  </si>
  <si>
    <t>6100|28/02/2018|505|519|45823,01|70|[295919] KSB||||</t>
  </si>
  <si>
    <t>6100|28/02/2018|505|519|2807,74|70|[84887] KSB||||</t>
  </si>
  <si>
    <t>6100|28/02/2018|505|519|4776,09|70|[84889] KSB||||</t>
  </si>
  <si>
    <t>6100|28/02/2018|505|519|1639,87|70|[84890] KSB||||</t>
  </si>
  <si>
    <t>6100|28/02/2018|505|519|845|70|[81386] PRO INT||||</t>
  </si>
  <si>
    <t>6100|28/02/2018|505|519|902,67|70|[9820] BRUMAFER||||</t>
  </si>
  <si>
    <t>6100|28/02/2018|505|519|766,04|70|[2222833] WEG EQUIPS||||</t>
  </si>
  <si>
    <t>6100|28/02/2018|505|519|270|70|[361] SOLLO MIG||||</t>
  </si>
  <si>
    <t>6100|28/02/2018|505|519|305,32|70|[69868] ACIONAC||||</t>
  </si>
  <si>
    <t>6100|28/02/2018|505|519|159,57|70|[295690] KSB||||</t>
  </si>
  <si>
    <t>6100|28/02/2018|505|519|115,3|70|[10507] SKYLL||||</t>
  </si>
  <si>
    <t>6100|13/02/2018|688|519|353,58|70|[263235] TRANSJOI||||</t>
  </si>
  <si>
    <t>6100|15/02/2018|688|519|949,51|70|[21690] ETC LUNE||||</t>
  </si>
  <si>
    <t>6100|20/02/2018|688|519|821,65|70|[6518] ITJ FINGER||||</t>
  </si>
  <si>
    <t>6100|23/02/2018|688|519|89,17|70|[265450] TRANSJOI||||</t>
  </si>
  <si>
    <t>6100|28/02/2018|688|519|1030,76|70|[21794] ETC LUNE||||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</si>
</sst>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R$&quot;\ #,##0.00;\-&quot;R$&quot;\ #,##0.00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mmmm/yyyy"/>
    <numFmt numFmtId="167" formatCode="&quot;R$&quot;\ #,##0.00"/>
    <numFmt numFmtId="168" formatCode="_-[$R$-416]\ * #,##0.00_-;\-[$R$-416]\ * #,##0.00_-;_-[$R$-416]\ * &quot;-&quot;??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1"/>
      <color theme="0"/>
      <name val="Tahoma"/>
      <family val="2"/>
    </font>
    <font>
      <b/>
      <sz val="11"/>
      <color theme="1"/>
      <name val="Tahoma"/>
      <family val="2"/>
    </font>
    <font>
      <b/>
      <sz val="10"/>
      <color theme="0"/>
      <name val="Tahoma"/>
      <family val="2"/>
    </font>
    <font>
      <sz val="11"/>
      <color theme="1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Tahoma"/>
      <family val="2"/>
    </font>
    <font>
      <b/>
      <sz val="12"/>
      <color indexed="81"/>
      <name val="Arial"/>
      <family val="2"/>
    </font>
    <font>
      <sz val="12"/>
      <color indexed="81"/>
      <name val="Arial"/>
      <family val="2"/>
    </font>
    <font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165" fontId="2" fillId="0" borderId="0" xfId="1" applyFont="1"/>
    <xf numFmtId="0" fontId="2" fillId="0" borderId="1" xfId="0" applyFont="1" applyBorder="1"/>
    <xf numFmtId="0" fontId="4" fillId="2" borderId="0" xfId="0" applyFont="1" applyFill="1" applyAlignment="1">
      <alignment horizontal="center" vertical="center"/>
    </xf>
    <xf numFmtId="165" fontId="4" fillId="2" borderId="0" xfId="1" applyFont="1" applyFill="1" applyAlignment="1">
      <alignment horizontal="center" vertical="center"/>
    </xf>
    <xf numFmtId="167" fontId="1" fillId="0" borderId="0" xfId="1" applyNumberFormat="1" applyFont="1"/>
    <xf numFmtId="49" fontId="6" fillId="0" borderId="0" xfId="0" applyNumberFormat="1" applyFont="1" applyAlignment="1">
      <alignment vertical="top"/>
    </xf>
    <xf numFmtId="0" fontId="6" fillId="0" borderId="0" xfId="0" applyFont="1" applyAlignment="1">
      <alignment vertical="top"/>
    </xf>
    <xf numFmtId="49" fontId="7" fillId="0" borderId="0" xfId="0" applyNumberFormat="1" applyFont="1" applyAlignment="1">
      <alignment vertical="top"/>
    </xf>
    <xf numFmtId="0" fontId="8" fillId="0" borderId="0" xfId="0" applyFont="1" applyAlignment="1"/>
    <xf numFmtId="0" fontId="7" fillId="0" borderId="0" xfId="0" applyNumberFormat="1" applyFont="1" applyAlignment="1">
      <alignment vertical="top"/>
    </xf>
    <xf numFmtId="0" fontId="3" fillId="0" borderId="0" xfId="1" applyNumberFormat="1" applyFont="1" applyAlignment="1">
      <alignment horizontal="left"/>
    </xf>
    <xf numFmtId="0" fontId="3" fillId="3" borderId="0" xfId="0" applyFont="1" applyFill="1"/>
    <xf numFmtId="168" fontId="3" fillId="0" borderId="1" xfId="1" applyNumberFormat="1" applyFont="1" applyBorder="1" applyAlignment="1">
      <alignment horizontal="left"/>
    </xf>
    <xf numFmtId="0" fontId="1" fillId="0" borderId="0" xfId="0" applyFont="1" applyProtection="1">
      <protection locked="0"/>
    </xf>
    <xf numFmtId="167" fontId="1" fillId="0" borderId="0" xfId="1" applyNumberFormat="1" applyFont="1" applyProtection="1">
      <protection locked="0"/>
    </xf>
    <xf numFmtId="0" fontId="1" fillId="0" borderId="0" xfId="1" applyNumberFormat="1" applyFont="1" applyProtection="1">
      <protection locked="0"/>
    </xf>
    <xf numFmtId="0" fontId="0" fillId="4" borderId="0" xfId="0" applyFill="1"/>
    <xf numFmtId="0" fontId="10" fillId="0" borderId="0" xfId="0" applyFont="1"/>
    <xf numFmtId="168" fontId="3" fillId="0" borderId="0" xfId="1" applyNumberFormat="1" applyFont="1" applyAlignment="1">
      <alignment horizontal="left"/>
    </xf>
    <xf numFmtId="165" fontId="3" fillId="0" borderId="0" xfId="1" applyFont="1"/>
    <xf numFmtId="0" fontId="3" fillId="0" borderId="0" xfId="0" applyFont="1" applyAlignment="1">
      <alignment horizontal="center"/>
    </xf>
    <xf numFmtId="14" fontId="3" fillId="3" borderId="0" xfId="1" applyNumberFormat="1" applyFont="1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" fillId="0" borderId="0" xfId="0" applyFont="1" applyBorder="1" applyAlignment="1" applyProtection="1">
      <alignment horizontal="center"/>
      <protection locked="0"/>
    </xf>
    <xf numFmtId="14" fontId="9" fillId="0" borderId="0" xfId="1" applyNumberFormat="1" applyFont="1" applyBorder="1" applyAlignment="1" applyProtection="1">
      <alignment horizontal="right"/>
      <protection locked="0"/>
    </xf>
    <xf numFmtId="14" fontId="9" fillId="3" borderId="0" xfId="0" applyNumberFormat="1" applyFont="1" applyFill="1" applyBorder="1" applyAlignment="1">
      <alignment horizontal="center"/>
    </xf>
    <xf numFmtId="0" fontId="9" fillId="3" borderId="0" xfId="0" applyFont="1" applyFill="1" applyBorder="1"/>
    <xf numFmtId="167" fontId="1" fillId="0" borderId="0" xfId="1" applyNumberFormat="1" applyFont="1" applyFill="1" applyBorder="1" applyProtection="1">
      <protection locked="0"/>
    </xf>
    <xf numFmtId="167" fontId="9" fillId="0" borderId="0" xfId="1" applyNumberFormat="1" applyFont="1" applyFill="1" applyBorder="1"/>
    <xf numFmtId="0" fontId="1" fillId="0" borderId="0" xfId="0" applyFont="1" applyBorder="1" applyProtection="1">
      <protection locked="0"/>
    </xf>
    <xf numFmtId="0" fontId="9" fillId="3" borderId="0" xfId="0" applyFont="1" applyFill="1" applyBorder="1" applyProtection="1">
      <protection locked="0"/>
    </xf>
    <xf numFmtId="0" fontId="1" fillId="0" borderId="0" xfId="0" applyFont="1" applyFill="1" applyBorder="1"/>
    <xf numFmtId="0" fontId="9" fillId="0" borderId="0" xfId="0" applyFont="1" applyBorder="1" applyProtection="1">
      <protection locked="0"/>
    </xf>
    <xf numFmtId="167" fontId="11" fillId="0" borderId="0" xfId="1" applyNumberFormat="1" applyFont="1" applyFill="1" applyBorder="1"/>
    <xf numFmtId="0" fontId="1" fillId="5" borderId="0" xfId="0" applyFont="1" applyFill="1" applyBorder="1" applyProtection="1">
      <protection locked="0"/>
    </xf>
    <xf numFmtId="167" fontId="1" fillId="0" borderId="0" xfId="1" applyNumberFormat="1" applyFont="1" applyBorder="1" applyProtection="1">
      <protection locked="0"/>
    </xf>
    <xf numFmtId="167" fontId="9" fillId="5" borderId="0" xfId="1" applyNumberFormat="1" applyFont="1" applyFill="1" applyBorder="1"/>
    <xf numFmtId="167" fontId="1" fillId="0" borderId="0" xfId="1" applyNumberFormat="1" applyFont="1" applyBorder="1"/>
    <xf numFmtId="0" fontId="1" fillId="0" borderId="0" xfId="1" applyNumberFormat="1" applyFont="1" applyBorder="1" applyProtection="1">
      <protection locked="0"/>
    </xf>
    <xf numFmtId="0" fontId="1" fillId="0" borderId="0" xfId="1" applyNumberFormat="1" applyFont="1" applyFill="1" applyBorder="1" applyAlignment="1" applyProtection="1">
      <alignment horizontal="center"/>
      <protection locked="0"/>
    </xf>
    <xf numFmtId="14" fontId="1" fillId="0" borderId="0" xfId="0" applyNumberFormat="1" applyFont="1" applyBorder="1"/>
    <xf numFmtId="14" fontId="0" fillId="0" borderId="0" xfId="0" applyNumberFormat="1"/>
    <xf numFmtId="164" fontId="0" fillId="0" borderId="0" xfId="0" applyNumberFormat="1"/>
    <xf numFmtId="0" fontId="3" fillId="0" borderId="1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" fillId="6" borderId="1" xfId="0" applyFont="1" applyFill="1" applyBorder="1"/>
    <xf numFmtId="166" fontId="3" fillId="6" borderId="1" xfId="0" applyNumberFormat="1" applyFont="1" applyFill="1" applyBorder="1"/>
    <xf numFmtId="0" fontId="3" fillId="6" borderId="1" xfId="1" applyNumberFormat="1" applyFont="1" applyFill="1" applyBorder="1" applyAlignment="1">
      <alignment horizontal="left"/>
    </xf>
    <xf numFmtId="7" fontId="0" fillId="0" borderId="0" xfId="0" applyNumberFormat="1"/>
    <xf numFmtId="14" fontId="8" fillId="0" borderId="0" xfId="0" applyNumberFormat="1" applyFont="1" applyAlignment="1"/>
    <xf numFmtId="0" fontId="3" fillId="0" borderId="0" xfId="0" applyFont="1" applyAlignment="1">
      <alignment horizontal="left"/>
    </xf>
  </cellXfs>
  <cellStyles count="2">
    <cellStyle name="Moeda" xfId="1" builtinId="4"/>
    <cellStyle name="Normal" xfId="0" builtinId="0"/>
  </cellStyles>
  <dxfs count="2">
    <dxf>
      <font>
        <color rgb="FFFF000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0</xdr:row>
      <xdr:rowOff>0</xdr:rowOff>
    </xdr:from>
    <xdr:to>
      <xdr:col>1</xdr:col>
      <xdr:colOff>35719</xdr:colOff>
      <xdr:row>4</xdr:row>
      <xdr:rowOff>3897</xdr:rowOff>
    </xdr:to>
    <xdr:pic macro="[0]!Pesquis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1" y="0"/>
          <a:ext cx="819149" cy="727797"/>
        </a:xfrm>
        <a:prstGeom prst="rect">
          <a:avLst/>
        </a:prstGeom>
      </xdr:spPr>
    </xdr:pic>
    <xdr:clientData/>
  </xdr:twoCellAnchor>
  <xdr:twoCellAnchor>
    <xdr:from>
      <xdr:col>8</xdr:col>
      <xdr:colOff>1047749</xdr:colOff>
      <xdr:row>2</xdr:row>
      <xdr:rowOff>59531</xdr:rowOff>
    </xdr:from>
    <xdr:to>
      <xdr:col>9</xdr:col>
      <xdr:colOff>2190750</xdr:colOff>
      <xdr:row>3</xdr:row>
      <xdr:rowOff>130969</xdr:rowOff>
    </xdr:to>
    <xdr:sp macro="[0]!envia_para_base" textlink="">
      <xdr:nvSpPr>
        <xdr:cNvPr id="3" name="Retângulo de cantos arredondados 2"/>
        <xdr:cNvSpPr/>
      </xdr:nvSpPr>
      <xdr:spPr>
        <a:xfrm>
          <a:off x="10203655" y="416719"/>
          <a:ext cx="2190751" cy="25003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+ ARQUIVO</a:t>
          </a:r>
          <a:r>
            <a:rPr lang="pt-BR" sz="1100" b="1" baseline="0"/>
            <a:t> PARA IMPORTAÇÃO</a:t>
          </a:r>
          <a:endParaRPr lang="pt-BR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ENTRAL%20DE%20INFORMACOES/095%20-%20CENTERLAR%20MATRIZ/2016/CONTABIL/04%20-%20ABR/03%20PROCESSOS/095_FORNEC_04201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p.%20Cont&#225;bil/Bruno/PADROES/HISTORIC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000%20-%20CONTROLES/01%20-%20CONTABIL/HISTORIC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ENTRAL%20DE%20INFORMACOES/095%20-%20CENTERLAR%20MATRIZ/2016/CONTABIL/04%20-%20ABR/03%20PROCESSOS/095_ITAU14_0420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NECEDORES"/>
    </sheetNames>
    <sheetDataSet>
      <sheetData sheetId="0">
        <row r="1">
          <cell r="B1" t="str">
            <v>TIPO_CONTA</v>
          </cell>
          <cell r="C1" t="str">
            <v>EMPRESA</v>
          </cell>
          <cell r="D1" t="str">
            <v>DATAHORA_CADASTRO</v>
          </cell>
          <cell r="E1" t="str">
            <v>VENCIMENTO</v>
          </cell>
          <cell r="F1" t="str">
            <v>TIPO_CADASTRO</v>
          </cell>
          <cell r="G1" t="str">
            <v>ID_CADASTRO</v>
          </cell>
          <cell r="H1" t="str">
            <v>DESCRITIVO</v>
          </cell>
          <cell r="I1" t="str">
            <v>NF</v>
          </cell>
          <cell r="J1" t="str">
            <v>PARCELA</v>
          </cell>
          <cell r="K1" t="str">
            <v>TOTAL_PARCELA</v>
          </cell>
          <cell r="L1" t="str">
            <v>BANCO_CHEQUE</v>
          </cell>
          <cell r="M1" t="str">
            <v>VALOR</v>
          </cell>
          <cell r="N1" t="str">
            <v>DESCONTO</v>
          </cell>
          <cell r="O1" t="str">
            <v>ACRESCIMO</v>
          </cell>
          <cell r="P1" t="str">
            <v>FORMA_PAGTO</v>
          </cell>
          <cell r="Q1" t="str">
            <v>PAGAMENTO</v>
          </cell>
        </row>
        <row r="2">
          <cell r="A2">
            <v>1</v>
          </cell>
          <cell r="B2" t="str">
            <v>Pg</v>
          </cell>
          <cell r="C2">
            <v>6</v>
          </cell>
          <cell r="D2">
            <v>151215</v>
          </cell>
          <cell r="E2">
            <v>10416</v>
          </cell>
          <cell r="F2" t="str">
            <v>For</v>
          </cell>
          <cell r="G2">
            <v>2358</v>
          </cell>
          <cell r="H2" t="str">
            <v>GALA - IBB IND. BRAS. DE BRINQ. E EMB. LTDA</v>
          </cell>
          <cell r="I2">
            <v>43849</v>
          </cell>
          <cell r="J2">
            <v>2</v>
          </cell>
          <cell r="K2">
            <v>2</v>
          </cell>
          <cell r="L2">
            <v>341</v>
          </cell>
          <cell r="M2">
            <v>11654.05</v>
          </cell>
          <cell r="N2">
            <v>0</v>
          </cell>
          <cell r="O2">
            <v>0</v>
          </cell>
          <cell r="P2">
            <v>4</v>
          </cell>
          <cell r="Q2">
            <v>10416</v>
          </cell>
        </row>
        <row r="3">
          <cell r="A3">
            <v>2</v>
          </cell>
          <cell r="B3" t="str">
            <v>Pg</v>
          </cell>
          <cell r="C3">
            <v>6</v>
          </cell>
          <cell r="D3">
            <v>30216</v>
          </cell>
          <cell r="E3">
            <v>10416</v>
          </cell>
          <cell r="F3" t="str">
            <v>For</v>
          </cell>
          <cell r="G3">
            <v>939</v>
          </cell>
          <cell r="H3" t="str">
            <v>CARVALHO PASQUALINI CIA LTDA</v>
          </cell>
          <cell r="I3">
            <v>21070</v>
          </cell>
          <cell r="J3">
            <v>2</v>
          </cell>
          <cell r="K3">
            <v>2</v>
          </cell>
          <cell r="L3">
            <v>341</v>
          </cell>
          <cell r="M3">
            <v>8000</v>
          </cell>
          <cell r="N3">
            <v>0</v>
          </cell>
          <cell r="O3">
            <v>0</v>
          </cell>
          <cell r="P3">
            <v>4</v>
          </cell>
          <cell r="Q3">
            <v>10416</v>
          </cell>
        </row>
        <row r="4">
          <cell r="A4">
            <v>3</v>
          </cell>
          <cell r="B4" t="str">
            <v>Pg</v>
          </cell>
          <cell r="C4">
            <v>6</v>
          </cell>
          <cell r="D4">
            <v>70316</v>
          </cell>
          <cell r="E4">
            <v>10416</v>
          </cell>
          <cell r="F4" t="str">
            <v>For</v>
          </cell>
          <cell r="G4">
            <v>77</v>
          </cell>
          <cell r="H4" t="str">
            <v>BRAS CONTINENTAL IMP. E EXP. LTDA</v>
          </cell>
          <cell r="I4">
            <v>80349</v>
          </cell>
          <cell r="J4">
            <v>1</v>
          </cell>
          <cell r="K4">
            <v>1</v>
          </cell>
          <cell r="L4">
            <v>341</v>
          </cell>
          <cell r="M4">
            <v>19386.689999999999</v>
          </cell>
          <cell r="N4">
            <v>0</v>
          </cell>
          <cell r="O4">
            <v>0</v>
          </cell>
          <cell r="P4">
            <v>4</v>
          </cell>
          <cell r="Q4">
            <v>10416</v>
          </cell>
        </row>
        <row r="5">
          <cell r="A5">
            <v>4</v>
          </cell>
          <cell r="B5" t="str">
            <v>Pg</v>
          </cell>
          <cell r="C5">
            <v>8</v>
          </cell>
          <cell r="D5">
            <v>100316</v>
          </cell>
          <cell r="E5">
            <v>10416</v>
          </cell>
          <cell r="F5" t="str">
            <v>For</v>
          </cell>
          <cell r="G5">
            <v>1845</v>
          </cell>
          <cell r="H5" t="str">
            <v>PERFETTI VAN MELLE DISTRIBUIDORA LTDA</v>
          </cell>
          <cell r="I5">
            <v>45205</v>
          </cell>
          <cell r="J5">
            <v>1</v>
          </cell>
          <cell r="K5">
            <v>1</v>
          </cell>
          <cell r="L5">
            <v>341</v>
          </cell>
          <cell r="M5">
            <v>2555.6999999999998</v>
          </cell>
          <cell r="N5">
            <v>0</v>
          </cell>
          <cell r="O5">
            <v>0</v>
          </cell>
          <cell r="P5">
            <v>4</v>
          </cell>
          <cell r="Q5">
            <v>10416</v>
          </cell>
        </row>
        <row r="6">
          <cell r="A6">
            <v>5</v>
          </cell>
          <cell r="B6" t="str">
            <v>Pg</v>
          </cell>
          <cell r="C6">
            <v>5</v>
          </cell>
          <cell r="D6">
            <v>100316</v>
          </cell>
          <cell r="E6">
            <v>10416</v>
          </cell>
          <cell r="F6" t="str">
            <v>For</v>
          </cell>
          <cell r="G6">
            <v>1845</v>
          </cell>
          <cell r="H6" t="str">
            <v>PERFETTI VAN MELLE DISTRIBUIDORA LTDA</v>
          </cell>
          <cell r="I6">
            <v>45195</v>
          </cell>
          <cell r="J6">
            <v>1</v>
          </cell>
          <cell r="K6">
            <v>1</v>
          </cell>
          <cell r="L6">
            <v>341</v>
          </cell>
          <cell r="M6">
            <v>2369.92</v>
          </cell>
          <cell r="N6">
            <v>0</v>
          </cell>
          <cell r="O6">
            <v>0</v>
          </cell>
          <cell r="P6">
            <v>4</v>
          </cell>
          <cell r="Q6">
            <v>10416</v>
          </cell>
        </row>
        <row r="7">
          <cell r="A7">
            <v>6</v>
          </cell>
          <cell r="B7" t="str">
            <v>Pg</v>
          </cell>
          <cell r="C7">
            <v>6</v>
          </cell>
          <cell r="D7">
            <v>170316</v>
          </cell>
          <cell r="E7">
            <v>10416</v>
          </cell>
          <cell r="F7" t="str">
            <v>For</v>
          </cell>
          <cell r="G7">
            <v>1638</v>
          </cell>
          <cell r="H7" t="str">
            <v>INDUSTRIA DE BRINQUEDOS JUNGES LTDA.</v>
          </cell>
          <cell r="I7">
            <v>9792</v>
          </cell>
          <cell r="J7">
            <v>1</v>
          </cell>
          <cell r="K7">
            <v>1</v>
          </cell>
          <cell r="L7">
            <v>341</v>
          </cell>
          <cell r="M7">
            <v>4372.3599999999997</v>
          </cell>
          <cell r="N7">
            <v>0</v>
          </cell>
          <cell r="O7">
            <v>0</v>
          </cell>
          <cell r="P7">
            <v>4</v>
          </cell>
          <cell r="Q7">
            <v>10416</v>
          </cell>
        </row>
        <row r="8">
          <cell r="A8">
            <v>7</v>
          </cell>
          <cell r="B8" t="str">
            <v>Pg</v>
          </cell>
          <cell r="C8">
            <v>6</v>
          </cell>
          <cell r="D8">
            <v>180316</v>
          </cell>
          <cell r="E8">
            <v>10416</v>
          </cell>
          <cell r="F8" t="str">
            <v>For</v>
          </cell>
          <cell r="G8">
            <v>2467</v>
          </cell>
          <cell r="H8" t="str">
            <v>CLINK COMERCIO DE IMPORTACAO E EXPORTACAO LTDA</v>
          </cell>
          <cell r="I8">
            <v>13872</v>
          </cell>
          <cell r="J8">
            <v>1</v>
          </cell>
          <cell r="K8">
            <v>1</v>
          </cell>
          <cell r="L8">
            <v>341</v>
          </cell>
          <cell r="M8">
            <v>26360.19</v>
          </cell>
          <cell r="N8">
            <v>0</v>
          </cell>
          <cell r="O8">
            <v>0</v>
          </cell>
          <cell r="P8">
            <v>4</v>
          </cell>
          <cell r="Q8">
            <v>10416</v>
          </cell>
        </row>
        <row r="9">
          <cell r="A9">
            <v>8</v>
          </cell>
          <cell r="B9" t="str">
            <v>Pg</v>
          </cell>
          <cell r="C9">
            <v>6</v>
          </cell>
          <cell r="D9">
            <v>220316</v>
          </cell>
          <cell r="E9">
            <v>10416</v>
          </cell>
          <cell r="F9" t="str">
            <v>For</v>
          </cell>
          <cell r="G9">
            <v>920</v>
          </cell>
          <cell r="H9" t="str">
            <v>ARCOM S/A</v>
          </cell>
          <cell r="I9">
            <v>3967032</v>
          </cell>
          <cell r="J9">
            <v>1</v>
          </cell>
          <cell r="K9">
            <v>1</v>
          </cell>
          <cell r="L9">
            <v>341</v>
          </cell>
          <cell r="M9">
            <v>10384</v>
          </cell>
          <cell r="N9">
            <v>0</v>
          </cell>
          <cell r="O9">
            <v>0</v>
          </cell>
          <cell r="P9">
            <v>4</v>
          </cell>
          <cell r="Q9">
            <v>10416</v>
          </cell>
        </row>
        <row r="10">
          <cell r="A10">
            <v>9</v>
          </cell>
          <cell r="B10" t="str">
            <v>Pg</v>
          </cell>
          <cell r="C10">
            <v>6</v>
          </cell>
          <cell r="D10">
            <v>280316</v>
          </cell>
          <cell r="E10">
            <v>10416</v>
          </cell>
          <cell r="F10" t="str">
            <v>For</v>
          </cell>
          <cell r="G10">
            <v>2957</v>
          </cell>
          <cell r="H10" t="str">
            <v>ESTAMPARIA DE ALUMINIO OLIVEIRA LTDA - EPP</v>
          </cell>
          <cell r="I10">
            <v>2648</v>
          </cell>
          <cell r="J10">
            <v>1</v>
          </cell>
          <cell r="K10">
            <v>1</v>
          </cell>
          <cell r="L10">
            <v>341</v>
          </cell>
          <cell r="M10">
            <v>71739.69</v>
          </cell>
          <cell r="N10">
            <v>0</v>
          </cell>
          <cell r="O10">
            <v>0</v>
          </cell>
          <cell r="P10">
            <v>4</v>
          </cell>
          <cell r="Q10">
            <v>10416</v>
          </cell>
        </row>
        <row r="11">
          <cell r="A11">
            <v>10</v>
          </cell>
          <cell r="B11" t="str">
            <v>Pg</v>
          </cell>
          <cell r="C11">
            <v>1</v>
          </cell>
          <cell r="D11">
            <v>280316</v>
          </cell>
          <cell r="E11">
            <v>10416</v>
          </cell>
          <cell r="F11" t="str">
            <v>For</v>
          </cell>
          <cell r="G11">
            <v>2160</v>
          </cell>
          <cell r="H11" t="str">
            <v>DESTRO BRASIL DISTRIBUICAO LTDA</v>
          </cell>
          <cell r="I11">
            <v>1051183</v>
          </cell>
          <cell r="J11">
            <v>1</v>
          </cell>
          <cell r="K11">
            <v>1</v>
          </cell>
          <cell r="L11">
            <v>341</v>
          </cell>
          <cell r="M11">
            <v>679.2</v>
          </cell>
          <cell r="N11">
            <v>0</v>
          </cell>
          <cell r="O11">
            <v>0</v>
          </cell>
          <cell r="P11">
            <v>4</v>
          </cell>
          <cell r="Q11">
            <v>10416</v>
          </cell>
        </row>
        <row r="12">
          <cell r="A12">
            <v>11</v>
          </cell>
          <cell r="B12" t="str">
            <v>Pg</v>
          </cell>
          <cell r="C12">
            <v>5</v>
          </cell>
          <cell r="D12">
            <v>290316</v>
          </cell>
          <cell r="E12">
            <v>10416</v>
          </cell>
          <cell r="F12" t="str">
            <v>For</v>
          </cell>
          <cell r="G12">
            <v>2160</v>
          </cell>
          <cell r="H12" t="str">
            <v>DESTRO BRASIL DISTRIBUICAO LTDA</v>
          </cell>
          <cell r="I12">
            <v>1051186</v>
          </cell>
          <cell r="J12">
            <v>1</v>
          </cell>
          <cell r="K12">
            <v>1</v>
          </cell>
          <cell r="L12">
            <v>341</v>
          </cell>
          <cell r="M12">
            <v>1122.1199999999999</v>
          </cell>
          <cell r="N12">
            <v>0</v>
          </cell>
          <cell r="O12">
            <v>0</v>
          </cell>
          <cell r="P12">
            <v>4</v>
          </cell>
          <cell r="Q12">
            <v>10416</v>
          </cell>
        </row>
        <row r="13">
          <cell r="A13">
            <v>12</v>
          </cell>
          <cell r="B13" t="str">
            <v>Pg</v>
          </cell>
          <cell r="C13">
            <v>6</v>
          </cell>
          <cell r="D13">
            <v>91215</v>
          </cell>
          <cell r="E13">
            <v>20416</v>
          </cell>
          <cell r="F13" t="str">
            <v>For</v>
          </cell>
          <cell r="G13">
            <v>2819</v>
          </cell>
          <cell r="H13" t="str">
            <v>FORT SOLUTIONS COM IMP EXP LTDA</v>
          </cell>
          <cell r="I13">
            <v>11085</v>
          </cell>
          <cell r="J13">
            <v>4</v>
          </cell>
          <cell r="K13">
            <v>4</v>
          </cell>
          <cell r="L13">
            <v>341</v>
          </cell>
          <cell r="M13">
            <v>9757.1</v>
          </cell>
          <cell r="N13">
            <v>0</v>
          </cell>
          <cell r="O13">
            <v>0</v>
          </cell>
          <cell r="P13">
            <v>4</v>
          </cell>
          <cell r="Q13">
            <v>40416</v>
          </cell>
        </row>
        <row r="14">
          <cell r="A14">
            <v>13</v>
          </cell>
          <cell r="B14" t="str">
            <v>Pg</v>
          </cell>
          <cell r="C14">
            <v>6</v>
          </cell>
          <cell r="D14">
            <v>190116</v>
          </cell>
          <cell r="E14">
            <v>20416</v>
          </cell>
          <cell r="F14" t="str">
            <v>For</v>
          </cell>
          <cell r="G14">
            <v>1310</v>
          </cell>
          <cell r="H14" t="str">
            <v>EUROQUADROS IND IMP EXP LTDA</v>
          </cell>
          <cell r="I14">
            <v>52518</v>
          </cell>
          <cell r="J14">
            <v>1</v>
          </cell>
          <cell r="K14">
            <v>1</v>
          </cell>
          <cell r="L14">
            <v>341</v>
          </cell>
          <cell r="M14">
            <v>2640</v>
          </cell>
          <cell r="N14">
            <v>0</v>
          </cell>
          <cell r="O14">
            <v>0</v>
          </cell>
          <cell r="P14">
            <v>4</v>
          </cell>
          <cell r="Q14">
            <v>40416</v>
          </cell>
        </row>
        <row r="15">
          <cell r="A15">
            <v>14</v>
          </cell>
          <cell r="B15" t="str">
            <v>Pg</v>
          </cell>
          <cell r="C15">
            <v>6</v>
          </cell>
          <cell r="D15">
            <v>210116</v>
          </cell>
          <cell r="E15">
            <v>20416</v>
          </cell>
          <cell r="F15" t="str">
            <v>For</v>
          </cell>
          <cell r="G15">
            <v>1310</v>
          </cell>
          <cell r="H15" t="str">
            <v>EUROQUADROS IND IMP EXP LTDA</v>
          </cell>
          <cell r="I15">
            <v>52526</v>
          </cell>
          <cell r="J15">
            <v>1</v>
          </cell>
          <cell r="K15">
            <v>1</v>
          </cell>
          <cell r="L15">
            <v>341</v>
          </cell>
          <cell r="M15">
            <v>85897.77</v>
          </cell>
          <cell r="N15">
            <v>0</v>
          </cell>
          <cell r="O15">
            <v>0</v>
          </cell>
          <cell r="P15">
            <v>4</v>
          </cell>
          <cell r="Q15">
            <v>40416</v>
          </cell>
        </row>
        <row r="16">
          <cell r="A16">
            <v>15</v>
          </cell>
          <cell r="B16" t="str">
            <v>Pg</v>
          </cell>
          <cell r="C16">
            <v>6</v>
          </cell>
          <cell r="D16">
            <v>80316</v>
          </cell>
          <cell r="E16">
            <v>20416</v>
          </cell>
          <cell r="F16" t="str">
            <v>For</v>
          </cell>
          <cell r="G16">
            <v>40</v>
          </cell>
          <cell r="H16" t="str">
            <v>H8 COM. IMP. E EXPORTACAO LTDA.</v>
          </cell>
          <cell r="I16">
            <v>21529</v>
          </cell>
          <cell r="J16">
            <v>1</v>
          </cell>
          <cell r="K16">
            <v>3</v>
          </cell>
          <cell r="L16">
            <v>341</v>
          </cell>
          <cell r="M16">
            <v>30186.240000000002</v>
          </cell>
          <cell r="N16">
            <v>0</v>
          </cell>
          <cell r="O16">
            <v>0</v>
          </cell>
          <cell r="P16">
            <v>4</v>
          </cell>
          <cell r="Q16">
            <v>40416</v>
          </cell>
        </row>
        <row r="17">
          <cell r="A17">
            <v>16</v>
          </cell>
          <cell r="B17" t="str">
            <v>Pg</v>
          </cell>
          <cell r="C17">
            <v>8</v>
          </cell>
          <cell r="D17">
            <v>210316</v>
          </cell>
          <cell r="E17">
            <v>20416</v>
          </cell>
          <cell r="F17" t="str">
            <v>For</v>
          </cell>
          <cell r="G17">
            <v>1458</v>
          </cell>
          <cell r="H17" t="str">
            <v>DISTRIBUIDORA DE PRODUTOS ALIMENTICIOS MARSIL LTDA</v>
          </cell>
          <cell r="I17">
            <v>1285844</v>
          </cell>
          <cell r="J17">
            <v>1</v>
          </cell>
          <cell r="K17">
            <v>1</v>
          </cell>
          <cell r="L17">
            <v>341</v>
          </cell>
          <cell r="M17">
            <v>6908.52</v>
          </cell>
          <cell r="N17">
            <v>0</v>
          </cell>
          <cell r="O17">
            <v>0</v>
          </cell>
          <cell r="P17">
            <v>4</v>
          </cell>
          <cell r="Q17">
            <v>40416</v>
          </cell>
        </row>
        <row r="18">
          <cell r="A18">
            <v>17</v>
          </cell>
          <cell r="B18" t="str">
            <v>Pg</v>
          </cell>
          <cell r="C18">
            <v>3</v>
          </cell>
          <cell r="D18">
            <v>210316</v>
          </cell>
          <cell r="E18">
            <v>20416</v>
          </cell>
          <cell r="F18" t="str">
            <v>For</v>
          </cell>
          <cell r="G18">
            <v>1458</v>
          </cell>
          <cell r="H18" t="str">
            <v>DISTRIBUIDORA DE PRODUTOS ALIMENTICIOS MARSIL LTDA</v>
          </cell>
          <cell r="I18">
            <v>1285768</v>
          </cell>
          <cell r="J18">
            <v>1</v>
          </cell>
          <cell r="K18">
            <v>1</v>
          </cell>
          <cell r="L18">
            <v>341</v>
          </cell>
          <cell r="M18">
            <v>3414.01</v>
          </cell>
          <cell r="N18">
            <v>0</v>
          </cell>
          <cell r="O18">
            <v>0</v>
          </cell>
          <cell r="P18">
            <v>4</v>
          </cell>
          <cell r="Q18">
            <v>40416</v>
          </cell>
        </row>
        <row r="19">
          <cell r="A19">
            <v>18</v>
          </cell>
          <cell r="B19" t="str">
            <v>Pg</v>
          </cell>
          <cell r="C19">
            <v>9</v>
          </cell>
          <cell r="D19">
            <v>210316</v>
          </cell>
          <cell r="E19">
            <v>20416</v>
          </cell>
          <cell r="F19" t="str">
            <v>For</v>
          </cell>
          <cell r="G19">
            <v>1458</v>
          </cell>
          <cell r="H19" t="str">
            <v>DISTRIBUIDORA DE PRODUTOS ALIMENTICIOS MARSIL LTDA</v>
          </cell>
          <cell r="I19">
            <v>1285913</v>
          </cell>
          <cell r="J19">
            <v>1</v>
          </cell>
          <cell r="K19">
            <v>1</v>
          </cell>
          <cell r="L19">
            <v>341</v>
          </cell>
          <cell r="M19">
            <v>6819.57</v>
          </cell>
          <cell r="N19">
            <v>0</v>
          </cell>
          <cell r="O19">
            <v>0</v>
          </cell>
          <cell r="P19">
            <v>4</v>
          </cell>
          <cell r="Q19">
            <v>40416</v>
          </cell>
        </row>
        <row r="20">
          <cell r="A20">
            <v>19</v>
          </cell>
          <cell r="B20" t="str">
            <v>Pg</v>
          </cell>
          <cell r="C20">
            <v>9</v>
          </cell>
          <cell r="D20">
            <v>210316</v>
          </cell>
          <cell r="E20">
            <v>20416</v>
          </cell>
          <cell r="F20" t="str">
            <v>For</v>
          </cell>
          <cell r="G20">
            <v>1458</v>
          </cell>
          <cell r="H20" t="str">
            <v>DISTRIBUIDORA DE PRODUTOS ALIMENTICIOS MARSIL LTDA</v>
          </cell>
          <cell r="I20">
            <v>1285914</v>
          </cell>
          <cell r="J20">
            <v>1</v>
          </cell>
          <cell r="K20">
            <v>1</v>
          </cell>
          <cell r="L20">
            <v>341</v>
          </cell>
          <cell r="M20">
            <v>1388.11</v>
          </cell>
          <cell r="N20">
            <v>0</v>
          </cell>
          <cell r="O20">
            <v>0</v>
          </cell>
          <cell r="P20">
            <v>4</v>
          </cell>
          <cell r="Q20">
            <v>40416</v>
          </cell>
        </row>
        <row r="21">
          <cell r="A21">
            <v>20</v>
          </cell>
          <cell r="B21" t="str">
            <v>Pg</v>
          </cell>
          <cell r="C21">
            <v>1</v>
          </cell>
          <cell r="D21">
            <v>210316</v>
          </cell>
          <cell r="E21">
            <v>20416</v>
          </cell>
          <cell r="F21" t="str">
            <v>For</v>
          </cell>
          <cell r="G21">
            <v>1458</v>
          </cell>
          <cell r="H21" t="str">
            <v>DISTRIBUIDORA DE PRODUTOS ALIMENTICIOS MARSIL LTDA</v>
          </cell>
          <cell r="I21">
            <v>1285843</v>
          </cell>
          <cell r="J21">
            <v>1</v>
          </cell>
          <cell r="K21">
            <v>1</v>
          </cell>
          <cell r="L21">
            <v>341</v>
          </cell>
          <cell r="M21">
            <v>10505.42</v>
          </cell>
          <cell r="N21">
            <v>0</v>
          </cell>
          <cell r="O21">
            <v>0</v>
          </cell>
          <cell r="P21">
            <v>4</v>
          </cell>
          <cell r="Q21">
            <v>40416</v>
          </cell>
        </row>
        <row r="22">
          <cell r="A22">
            <v>21</v>
          </cell>
          <cell r="B22" t="str">
            <v>Pg</v>
          </cell>
          <cell r="C22">
            <v>1</v>
          </cell>
          <cell r="D22">
            <v>210316</v>
          </cell>
          <cell r="E22">
            <v>20416</v>
          </cell>
          <cell r="F22" t="str">
            <v>For</v>
          </cell>
          <cell r="G22">
            <v>1458</v>
          </cell>
          <cell r="H22" t="str">
            <v>DISTRIBUIDORA DE PRODUTOS ALIMENTICIOS MARSIL LTDA</v>
          </cell>
          <cell r="I22">
            <v>1285845</v>
          </cell>
          <cell r="J22">
            <v>1</v>
          </cell>
          <cell r="K22">
            <v>1</v>
          </cell>
          <cell r="L22">
            <v>341</v>
          </cell>
          <cell r="M22">
            <v>4192.24</v>
          </cell>
          <cell r="N22">
            <v>0</v>
          </cell>
          <cell r="O22">
            <v>0</v>
          </cell>
          <cell r="P22">
            <v>4</v>
          </cell>
          <cell r="Q22">
            <v>40416</v>
          </cell>
        </row>
        <row r="23">
          <cell r="A23">
            <v>22</v>
          </cell>
          <cell r="B23" t="str">
            <v>Pg</v>
          </cell>
          <cell r="C23">
            <v>5</v>
          </cell>
          <cell r="D23">
            <v>210316</v>
          </cell>
          <cell r="E23">
            <v>20416</v>
          </cell>
          <cell r="F23" t="str">
            <v>For</v>
          </cell>
          <cell r="G23">
            <v>1458</v>
          </cell>
          <cell r="H23" t="str">
            <v>DISTRIBUIDORA DE PRODUTOS ALIMENTICIOS MARSIL LTDA</v>
          </cell>
          <cell r="I23">
            <v>1285766</v>
          </cell>
          <cell r="J23">
            <v>1</v>
          </cell>
          <cell r="K23">
            <v>1</v>
          </cell>
          <cell r="L23">
            <v>341</v>
          </cell>
          <cell r="M23">
            <v>8060.4</v>
          </cell>
          <cell r="N23">
            <v>0</v>
          </cell>
          <cell r="O23">
            <v>0</v>
          </cell>
          <cell r="P23">
            <v>4</v>
          </cell>
          <cell r="Q23">
            <v>40416</v>
          </cell>
        </row>
        <row r="24">
          <cell r="A24">
            <v>23</v>
          </cell>
          <cell r="B24" t="str">
            <v>Pg</v>
          </cell>
          <cell r="C24">
            <v>5</v>
          </cell>
          <cell r="D24">
            <v>210316</v>
          </cell>
          <cell r="E24">
            <v>20416</v>
          </cell>
          <cell r="F24" t="str">
            <v>For</v>
          </cell>
          <cell r="G24">
            <v>1458</v>
          </cell>
          <cell r="H24" t="str">
            <v>DISTRIBUIDORA DE PRODUTOS ALIMENTICIOS MARSIL LTDA</v>
          </cell>
          <cell r="I24">
            <v>1285769</v>
          </cell>
          <cell r="J24">
            <v>1</v>
          </cell>
          <cell r="K24">
            <v>1</v>
          </cell>
          <cell r="L24">
            <v>341</v>
          </cell>
          <cell r="M24">
            <v>3083.54</v>
          </cell>
          <cell r="N24">
            <v>0</v>
          </cell>
          <cell r="O24">
            <v>0</v>
          </cell>
          <cell r="P24">
            <v>4</v>
          </cell>
          <cell r="Q24">
            <v>40416</v>
          </cell>
        </row>
        <row r="25">
          <cell r="A25">
            <v>24</v>
          </cell>
          <cell r="B25" t="str">
            <v>Pg</v>
          </cell>
          <cell r="C25">
            <v>3</v>
          </cell>
          <cell r="D25">
            <v>210316</v>
          </cell>
          <cell r="E25">
            <v>20416</v>
          </cell>
          <cell r="F25" t="str">
            <v>For</v>
          </cell>
          <cell r="G25">
            <v>1458</v>
          </cell>
          <cell r="H25" t="str">
            <v>DISTRIBUIDORA DE PRODUTOS ALIMENTICIOS MARSIL LTDA</v>
          </cell>
          <cell r="I25">
            <v>1285767</v>
          </cell>
          <cell r="J25">
            <v>1</v>
          </cell>
          <cell r="K25">
            <v>1</v>
          </cell>
          <cell r="L25">
            <v>341</v>
          </cell>
          <cell r="M25">
            <v>10848.88</v>
          </cell>
          <cell r="N25">
            <v>0</v>
          </cell>
          <cell r="O25">
            <v>0</v>
          </cell>
          <cell r="P25">
            <v>4</v>
          </cell>
          <cell r="Q25">
            <v>40416</v>
          </cell>
        </row>
        <row r="26">
          <cell r="A26">
            <v>25</v>
          </cell>
          <cell r="B26" t="str">
            <v>Pg</v>
          </cell>
          <cell r="C26">
            <v>6</v>
          </cell>
          <cell r="D26">
            <v>230316</v>
          </cell>
          <cell r="E26">
            <v>20416</v>
          </cell>
          <cell r="F26" t="str">
            <v>For</v>
          </cell>
          <cell r="G26">
            <v>1571</v>
          </cell>
          <cell r="H26" t="str">
            <v>METALURGICA SIMONAGGIO LTDA</v>
          </cell>
          <cell r="I26">
            <v>52320</v>
          </cell>
          <cell r="J26">
            <v>1</v>
          </cell>
          <cell r="K26">
            <v>1</v>
          </cell>
          <cell r="L26">
            <v>341</v>
          </cell>
          <cell r="M26">
            <v>70293.94</v>
          </cell>
          <cell r="N26">
            <v>339.9</v>
          </cell>
          <cell r="O26">
            <v>0</v>
          </cell>
          <cell r="P26">
            <v>4</v>
          </cell>
          <cell r="Q26">
            <v>40416</v>
          </cell>
        </row>
        <row r="27">
          <cell r="A27">
            <v>26</v>
          </cell>
          <cell r="B27" t="str">
            <v>Pg</v>
          </cell>
          <cell r="C27">
            <v>6</v>
          </cell>
          <cell r="D27">
            <v>30216</v>
          </cell>
          <cell r="E27">
            <v>30416</v>
          </cell>
          <cell r="F27" t="str">
            <v>For</v>
          </cell>
          <cell r="G27">
            <v>2330</v>
          </cell>
          <cell r="H27" t="str">
            <v>BELLA AZUL COMERCIO DE PRESENTES LTDA EPP</v>
          </cell>
          <cell r="I27">
            <v>10365</v>
          </cell>
          <cell r="J27">
            <v>1</v>
          </cell>
          <cell r="K27">
            <v>1</v>
          </cell>
          <cell r="L27">
            <v>341</v>
          </cell>
          <cell r="M27">
            <v>13385.46</v>
          </cell>
          <cell r="N27">
            <v>0</v>
          </cell>
          <cell r="O27">
            <v>0</v>
          </cell>
          <cell r="P27">
            <v>4</v>
          </cell>
          <cell r="Q27">
            <v>40416</v>
          </cell>
        </row>
        <row r="28">
          <cell r="A28">
            <v>27</v>
          </cell>
          <cell r="B28" t="str">
            <v>Pg</v>
          </cell>
          <cell r="C28">
            <v>6</v>
          </cell>
          <cell r="D28">
            <v>80216</v>
          </cell>
          <cell r="E28">
            <v>30416</v>
          </cell>
          <cell r="F28" t="str">
            <v>For</v>
          </cell>
          <cell r="G28">
            <v>1009</v>
          </cell>
          <cell r="H28" t="str">
            <v>DORI IND.COM.PROD.ALIMENT.LTDA</v>
          </cell>
          <cell r="I28">
            <v>603042</v>
          </cell>
          <cell r="J28">
            <v>4</v>
          </cell>
          <cell r="K28">
            <v>5</v>
          </cell>
          <cell r="L28">
            <v>341</v>
          </cell>
          <cell r="M28">
            <v>700.58</v>
          </cell>
          <cell r="N28">
            <v>0</v>
          </cell>
          <cell r="O28">
            <v>0</v>
          </cell>
          <cell r="P28">
            <v>4</v>
          </cell>
          <cell r="Q28">
            <v>40416</v>
          </cell>
        </row>
        <row r="29">
          <cell r="A29">
            <v>28</v>
          </cell>
          <cell r="B29" t="str">
            <v>Pg</v>
          </cell>
          <cell r="C29">
            <v>6</v>
          </cell>
          <cell r="D29">
            <v>190216</v>
          </cell>
          <cell r="E29">
            <v>30416</v>
          </cell>
          <cell r="F29" t="str">
            <v>For</v>
          </cell>
          <cell r="G29">
            <v>2099</v>
          </cell>
          <cell r="H29" t="str">
            <v>UNIART COMERCIO DE PAPEIS E PRESENTES LTDA</v>
          </cell>
          <cell r="I29">
            <v>9894</v>
          </cell>
          <cell r="J29">
            <v>1</v>
          </cell>
          <cell r="K29">
            <v>1</v>
          </cell>
          <cell r="L29">
            <v>341</v>
          </cell>
          <cell r="M29">
            <v>10800</v>
          </cell>
          <cell r="N29">
            <v>0</v>
          </cell>
          <cell r="O29">
            <v>0</v>
          </cell>
          <cell r="P29">
            <v>4</v>
          </cell>
          <cell r="Q29">
            <v>40416</v>
          </cell>
        </row>
        <row r="30">
          <cell r="A30">
            <v>29</v>
          </cell>
          <cell r="B30" t="str">
            <v>Pg</v>
          </cell>
          <cell r="C30">
            <v>6</v>
          </cell>
          <cell r="D30">
            <v>161115</v>
          </cell>
          <cell r="E30">
            <v>40416</v>
          </cell>
          <cell r="F30" t="str">
            <v>For</v>
          </cell>
          <cell r="G30">
            <v>2879</v>
          </cell>
          <cell r="H30" t="str">
            <v>M BRINQ COMERCIO DE BRINQUEDOS LIMITADA</v>
          </cell>
          <cell r="I30">
            <v>53524</v>
          </cell>
          <cell r="J30">
            <v>5</v>
          </cell>
          <cell r="K30">
            <v>5</v>
          </cell>
          <cell r="L30">
            <v>341</v>
          </cell>
          <cell r="M30">
            <v>999.87</v>
          </cell>
          <cell r="N30">
            <v>0</v>
          </cell>
          <cell r="O30">
            <v>0</v>
          </cell>
          <cell r="P30">
            <v>4</v>
          </cell>
          <cell r="Q30">
            <v>40416</v>
          </cell>
        </row>
        <row r="31">
          <cell r="A31">
            <v>30</v>
          </cell>
          <cell r="B31" t="str">
            <v>Pg</v>
          </cell>
          <cell r="C31">
            <v>6</v>
          </cell>
          <cell r="D31">
            <v>221215</v>
          </cell>
          <cell r="E31">
            <v>40416</v>
          </cell>
          <cell r="F31" t="str">
            <v>For</v>
          </cell>
          <cell r="G31">
            <v>2358</v>
          </cell>
          <cell r="H31" t="str">
            <v>GALA - IBB IND. BRAS. DE BRINQ. E EMB. LTDA</v>
          </cell>
          <cell r="I31">
            <v>44162</v>
          </cell>
          <cell r="J31">
            <v>2</v>
          </cell>
          <cell r="K31">
            <v>8</v>
          </cell>
          <cell r="L31">
            <v>341</v>
          </cell>
          <cell r="M31">
            <v>10191.969999999999</v>
          </cell>
          <cell r="N31">
            <v>0</v>
          </cell>
          <cell r="O31">
            <v>0</v>
          </cell>
          <cell r="P31">
            <v>4</v>
          </cell>
          <cell r="Q31">
            <v>40416</v>
          </cell>
        </row>
        <row r="32">
          <cell r="A32">
            <v>31</v>
          </cell>
          <cell r="B32" t="str">
            <v>Pg</v>
          </cell>
          <cell r="C32">
            <v>6</v>
          </cell>
          <cell r="D32">
            <v>110216</v>
          </cell>
          <cell r="E32">
            <v>40416</v>
          </cell>
          <cell r="F32" t="str">
            <v>For</v>
          </cell>
          <cell r="G32">
            <v>277</v>
          </cell>
          <cell r="H32" t="str">
            <v>DTC TRADING COMPANY EIRELI</v>
          </cell>
          <cell r="I32">
            <v>162634</v>
          </cell>
          <cell r="J32">
            <v>1</v>
          </cell>
          <cell r="K32">
            <v>1</v>
          </cell>
          <cell r="L32">
            <v>341</v>
          </cell>
          <cell r="M32">
            <v>21736.78</v>
          </cell>
          <cell r="N32">
            <v>0</v>
          </cell>
          <cell r="O32">
            <v>0</v>
          </cell>
          <cell r="P32">
            <v>4</v>
          </cell>
          <cell r="Q32">
            <v>40416</v>
          </cell>
        </row>
        <row r="33">
          <cell r="A33">
            <v>32</v>
          </cell>
          <cell r="B33" t="str">
            <v>Pg</v>
          </cell>
          <cell r="C33">
            <v>6</v>
          </cell>
          <cell r="D33">
            <v>220216</v>
          </cell>
          <cell r="E33">
            <v>40416</v>
          </cell>
          <cell r="F33" t="str">
            <v>For</v>
          </cell>
          <cell r="G33">
            <v>1402</v>
          </cell>
          <cell r="H33" t="str">
            <v>DOCEIRA CAMPOS DO JORDAO LTDA.</v>
          </cell>
          <cell r="I33">
            <v>119041</v>
          </cell>
          <cell r="J33">
            <v>1</v>
          </cell>
          <cell r="K33">
            <v>1</v>
          </cell>
          <cell r="L33">
            <v>341</v>
          </cell>
          <cell r="M33">
            <v>36000</v>
          </cell>
          <cell r="N33">
            <v>216</v>
          </cell>
          <cell r="O33">
            <v>0</v>
          </cell>
          <cell r="P33">
            <v>4</v>
          </cell>
          <cell r="Q33">
            <v>40416</v>
          </cell>
        </row>
        <row r="34">
          <cell r="A34">
            <v>33</v>
          </cell>
          <cell r="B34" t="str">
            <v>Pg</v>
          </cell>
          <cell r="C34">
            <v>6</v>
          </cell>
          <cell r="D34">
            <v>260216</v>
          </cell>
          <cell r="E34">
            <v>40416</v>
          </cell>
          <cell r="F34" t="str">
            <v>For</v>
          </cell>
          <cell r="G34">
            <v>1602</v>
          </cell>
          <cell r="H34" t="str">
            <v>3 IRMAOS COM DE QUADROS E MOLDURAS LTDA ME</v>
          </cell>
          <cell r="I34">
            <v>16</v>
          </cell>
          <cell r="J34">
            <v>1</v>
          </cell>
          <cell r="K34">
            <v>1</v>
          </cell>
          <cell r="L34">
            <v>999</v>
          </cell>
          <cell r="M34">
            <v>6505</v>
          </cell>
          <cell r="N34">
            <v>0</v>
          </cell>
          <cell r="O34">
            <v>0</v>
          </cell>
          <cell r="P34">
            <v>4</v>
          </cell>
          <cell r="Q34">
            <v>10416</v>
          </cell>
        </row>
        <row r="35">
          <cell r="A35">
            <v>34</v>
          </cell>
          <cell r="B35" t="str">
            <v>Pg</v>
          </cell>
          <cell r="C35">
            <v>6</v>
          </cell>
          <cell r="D35">
            <v>150316</v>
          </cell>
          <cell r="E35">
            <v>40416</v>
          </cell>
          <cell r="F35" t="str">
            <v>For</v>
          </cell>
          <cell r="G35">
            <v>2039</v>
          </cell>
          <cell r="H35" t="str">
            <v>MARINGA RODOS E ACESSORIOS PARA LIMPEZA LTDA</v>
          </cell>
          <cell r="I35">
            <v>1584</v>
          </cell>
          <cell r="J35">
            <v>1</v>
          </cell>
          <cell r="K35">
            <v>1</v>
          </cell>
          <cell r="L35">
            <v>341</v>
          </cell>
          <cell r="M35">
            <v>2965.35</v>
          </cell>
          <cell r="N35">
            <v>0</v>
          </cell>
          <cell r="O35">
            <v>0</v>
          </cell>
          <cell r="P35">
            <v>4</v>
          </cell>
          <cell r="Q35">
            <v>40416</v>
          </cell>
        </row>
        <row r="36">
          <cell r="A36">
            <v>35</v>
          </cell>
          <cell r="B36" t="str">
            <v>Pg</v>
          </cell>
          <cell r="C36">
            <v>3</v>
          </cell>
          <cell r="D36">
            <v>160316</v>
          </cell>
          <cell r="E36">
            <v>40416</v>
          </cell>
          <cell r="F36" t="str">
            <v>For</v>
          </cell>
          <cell r="G36">
            <v>2917</v>
          </cell>
          <cell r="H36" t="str">
            <v>GESTAO DISTRIBUICAO E LOGISTICA LTDA</v>
          </cell>
          <cell r="I36">
            <v>18603</v>
          </cell>
          <cell r="J36">
            <v>1</v>
          </cell>
          <cell r="K36">
            <v>1</v>
          </cell>
          <cell r="L36">
            <v>341</v>
          </cell>
          <cell r="M36">
            <v>4324.2</v>
          </cell>
          <cell r="N36">
            <v>0</v>
          </cell>
          <cell r="O36">
            <v>0</v>
          </cell>
          <cell r="P36">
            <v>4</v>
          </cell>
          <cell r="Q36">
            <v>40416</v>
          </cell>
        </row>
        <row r="37">
          <cell r="A37">
            <v>36</v>
          </cell>
          <cell r="B37" t="str">
            <v>Pg</v>
          </cell>
          <cell r="C37">
            <v>6</v>
          </cell>
          <cell r="D37">
            <v>180316</v>
          </cell>
          <cell r="E37">
            <v>40416</v>
          </cell>
          <cell r="F37" t="str">
            <v>For</v>
          </cell>
          <cell r="G37">
            <v>2063</v>
          </cell>
          <cell r="H37" t="str">
            <v>PEROLA COM DE PRODUTOS ALIM S/A</v>
          </cell>
          <cell r="I37">
            <v>91015</v>
          </cell>
          <cell r="J37">
            <v>1</v>
          </cell>
          <cell r="K37">
            <v>1</v>
          </cell>
          <cell r="L37">
            <v>341</v>
          </cell>
          <cell r="M37">
            <v>616.01</v>
          </cell>
          <cell r="N37">
            <v>0</v>
          </cell>
          <cell r="O37">
            <v>0</v>
          </cell>
          <cell r="P37">
            <v>4</v>
          </cell>
          <cell r="Q37">
            <v>40416</v>
          </cell>
        </row>
        <row r="38">
          <cell r="A38">
            <v>37</v>
          </cell>
          <cell r="B38" t="str">
            <v>Pg</v>
          </cell>
          <cell r="C38">
            <v>6</v>
          </cell>
          <cell r="D38">
            <v>220316</v>
          </cell>
          <cell r="E38">
            <v>40416</v>
          </cell>
          <cell r="F38" t="str">
            <v>For</v>
          </cell>
          <cell r="G38">
            <v>1946</v>
          </cell>
          <cell r="H38" t="str">
            <v>SIEGER COM. IMPORTACAO EXPORTACAO DE MANUF. LTDA</v>
          </cell>
          <cell r="I38">
            <v>21592</v>
          </cell>
          <cell r="J38">
            <v>1</v>
          </cell>
          <cell r="K38">
            <v>2</v>
          </cell>
          <cell r="L38">
            <v>341</v>
          </cell>
          <cell r="M38">
            <v>23760</v>
          </cell>
          <cell r="N38">
            <v>0</v>
          </cell>
          <cell r="O38">
            <v>0</v>
          </cell>
          <cell r="P38">
            <v>4</v>
          </cell>
          <cell r="Q38">
            <v>40416</v>
          </cell>
        </row>
        <row r="39">
          <cell r="A39">
            <v>38</v>
          </cell>
          <cell r="B39" t="str">
            <v>Pg</v>
          </cell>
          <cell r="C39">
            <v>6</v>
          </cell>
          <cell r="D39">
            <v>240316</v>
          </cell>
          <cell r="E39">
            <v>40416</v>
          </cell>
          <cell r="F39" t="str">
            <v>For</v>
          </cell>
          <cell r="G39">
            <v>1936</v>
          </cell>
          <cell r="H39" t="str">
            <v>ART VARAL IND. E COM. DE ACES. P/ O LAR LTDA ME</v>
          </cell>
          <cell r="I39">
            <v>6281</v>
          </cell>
          <cell r="J39">
            <v>1</v>
          </cell>
          <cell r="K39">
            <v>1</v>
          </cell>
          <cell r="L39">
            <v>341</v>
          </cell>
          <cell r="M39">
            <v>4500</v>
          </cell>
          <cell r="N39">
            <v>0</v>
          </cell>
          <cell r="O39">
            <v>0</v>
          </cell>
          <cell r="P39">
            <v>4</v>
          </cell>
          <cell r="Q39">
            <v>40416</v>
          </cell>
        </row>
        <row r="40">
          <cell r="A40">
            <v>39</v>
          </cell>
          <cell r="B40" t="str">
            <v>Pg</v>
          </cell>
          <cell r="C40">
            <v>3</v>
          </cell>
          <cell r="D40">
            <v>290316</v>
          </cell>
          <cell r="E40">
            <v>40416</v>
          </cell>
          <cell r="F40" t="str">
            <v>For</v>
          </cell>
          <cell r="G40">
            <v>1707</v>
          </cell>
          <cell r="H40" t="str">
            <v>DYSCAMP COMERCIO DE COSMETICOS LTDA ME</v>
          </cell>
          <cell r="I40">
            <v>27950</v>
          </cell>
          <cell r="J40">
            <v>1</v>
          </cell>
          <cell r="K40">
            <v>1</v>
          </cell>
          <cell r="L40">
            <v>341</v>
          </cell>
          <cell r="M40">
            <v>1724.46</v>
          </cell>
          <cell r="N40">
            <v>0</v>
          </cell>
          <cell r="O40">
            <v>0</v>
          </cell>
          <cell r="P40">
            <v>4</v>
          </cell>
          <cell r="Q40">
            <v>40416</v>
          </cell>
        </row>
        <row r="41">
          <cell r="A41">
            <v>40</v>
          </cell>
          <cell r="B41" t="str">
            <v>Pg</v>
          </cell>
          <cell r="C41">
            <v>6</v>
          </cell>
          <cell r="D41">
            <v>300316</v>
          </cell>
          <cell r="E41">
            <v>40416</v>
          </cell>
          <cell r="F41" t="str">
            <v>For</v>
          </cell>
          <cell r="G41">
            <v>963</v>
          </cell>
          <cell r="H41" t="str">
            <v>IND DE TORRONE N.S.DE MONTEVERGINE LTDA.</v>
          </cell>
          <cell r="I41">
            <v>252937</v>
          </cell>
          <cell r="J41">
            <v>1</v>
          </cell>
          <cell r="K41">
            <v>1</v>
          </cell>
          <cell r="L41">
            <v>341</v>
          </cell>
          <cell r="M41">
            <v>4905.67</v>
          </cell>
          <cell r="N41">
            <v>0</v>
          </cell>
          <cell r="O41">
            <v>0</v>
          </cell>
          <cell r="P41">
            <v>4</v>
          </cell>
          <cell r="Q41">
            <v>40416</v>
          </cell>
        </row>
        <row r="42">
          <cell r="A42">
            <v>41</v>
          </cell>
          <cell r="B42" t="str">
            <v>Pg</v>
          </cell>
          <cell r="C42">
            <v>6</v>
          </cell>
          <cell r="D42">
            <v>300316</v>
          </cell>
          <cell r="E42">
            <v>40416</v>
          </cell>
          <cell r="F42" t="str">
            <v>For</v>
          </cell>
          <cell r="G42">
            <v>1694</v>
          </cell>
          <cell r="H42" t="str">
            <v>PRODUTOS ALIMENTICIOS ARAPONGAS S/A</v>
          </cell>
          <cell r="I42">
            <v>83880</v>
          </cell>
          <cell r="J42">
            <v>1</v>
          </cell>
          <cell r="K42">
            <v>1</v>
          </cell>
          <cell r="L42">
            <v>341</v>
          </cell>
          <cell r="M42">
            <v>6838.78</v>
          </cell>
          <cell r="N42">
            <v>0</v>
          </cell>
          <cell r="O42">
            <v>0</v>
          </cell>
          <cell r="P42">
            <v>4</v>
          </cell>
          <cell r="Q42">
            <v>40416</v>
          </cell>
        </row>
        <row r="43">
          <cell r="A43">
            <v>42</v>
          </cell>
          <cell r="B43" t="str">
            <v>Pg</v>
          </cell>
          <cell r="C43">
            <v>10</v>
          </cell>
          <cell r="D43">
            <v>120116</v>
          </cell>
          <cell r="E43">
            <v>50416</v>
          </cell>
          <cell r="F43" t="str">
            <v>For</v>
          </cell>
          <cell r="G43">
            <v>730</v>
          </cell>
          <cell r="H43" t="str">
            <v>SEANITE INTERNACIONAL DE MODAS LTDA.</v>
          </cell>
          <cell r="I43">
            <v>50554</v>
          </cell>
          <cell r="J43">
            <v>4</v>
          </cell>
          <cell r="K43">
            <v>4</v>
          </cell>
          <cell r="L43">
            <v>341</v>
          </cell>
          <cell r="M43">
            <v>6037.9</v>
          </cell>
          <cell r="N43">
            <v>0</v>
          </cell>
          <cell r="O43">
            <v>0</v>
          </cell>
          <cell r="P43">
            <v>4</v>
          </cell>
          <cell r="Q43">
            <v>50416</v>
          </cell>
        </row>
        <row r="44">
          <cell r="A44">
            <v>43</v>
          </cell>
          <cell r="B44" t="str">
            <v>Pg</v>
          </cell>
          <cell r="C44">
            <v>6</v>
          </cell>
          <cell r="D44">
            <v>80216</v>
          </cell>
          <cell r="E44">
            <v>50416</v>
          </cell>
          <cell r="F44" t="str">
            <v>For</v>
          </cell>
          <cell r="G44">
            <v>2254</v>
          </cell>
          <cell r="H44" t="str">
            <v>MIKETA INDUSTRIA E COMERCIO DE BRINQUEDOS LTDA</v>
          </cell>
          <cell r="I44">
            <v>8700</v>
          </cell>
          <cell r="J44">
            <v>1</v>
          </cell>
          <cell r="K44">
            <v>1</v>
          </cell>
          <cell r="L44">
            <v>999</v>
          </cell>
          <cell r="M44">
            <v>30514.400000000001</v>
          </cell>
          <cell r="N44">
            <v>0</v>
          </cell>
          <cell r="O44">
            <v>0</v>
          </cell>
          <cell r="P44">
            <v>4</v>
          </cell>
          <cell r="Q44">
            <v>40416</v>
          </cell>
        </row>
        <row r="45">
          <cell r="A45">
            <v>44</v>
          </cell>
          <cell r="B45" t="str">
            <v>Pg</v>
          </cell>
          <cell r="C45">
            <v>6</v>
          </cell>
          <cell r="D45">
            <v>120216</v>
          </cell>
          <cell r="E45">
            <v>50416</v>
          </cell>
          <cell r="F45" t="str">
            <v>For</v>
          </cell>
          <cell r="G45">
            <v>2762</v>
          </cell>
          <cell r="H45" t="str">
            <v>ISSAM IMPORTACAO E EXPORTACAO EIRELI</v>
          </cell>
          <cell r="I45">
            <v>52544</v>
          </cell>
          <cell r="J45">
            <v>1</v>
          </cell>
          <cell r="K45">
            <v>1</v>
          </cell>
          <cell r="L45">
            <v>341</v>
          </cell>
          <cell r="M45">
            <v>32361.94</v>
          </cell>
          <cell r="N45">
            <v>0</v>
          </cell>
          <cell r="O45">
            <v>0</v>
          </cell>
          <cell r="P45">
            <v>4</v>
          </cell>
          <cell r="Q45">
            <v>50416</v>
          </cell>
        </row>
        <row r="46">
          <cell r="A46">
            <v>45</v>
          </cell>
          <cell r="B46" t="str">
            <v>Pg</v>
          </cell>
          <cell r="C46">
            <v>5</v>
          </cell>
          <cell r="D46">
            <v>90316</v>
          </cell>
          <cell r="E46">
            <v>50416</v>
          </cell>
          <cell r="F46" t="str">
            <v>For</v>
          </cell>
          <cell r="G46">
            <v>2316</v>
          </cell>
          <cell r="H46" t="str">
            <v>NOVA CAMPINAS DISTRIBUIDORA DE ALIMENTOS LTDA</v>
          </cell>
          <cell r="I46">
            <v>286874</v>
          </cell>
          <cell r="J46">
            <v>1</v>
          </cell>
          <cell r="K46">
            <v>2</v>
          </cell>
          <cell r="L46">
            <v>341</v>
          </cell>
          <cell r="M46">
            <v>702</v>
          </cell>
          <cell r="N46">
            <v>0</v>
          </cell>
          <cell r="O46">
            <v>0</v>
          </cell>
          <cell r="P46">
            <v>4</v>
          </cell>
          <cell r="Q46">
            <v>50416</v>
          </cell>
        </row>
        <row r="47">
          <cell r="A47">
            <v>46</v>
          </cell>
          <cell r="B47" t="str">
            <v>Pg</v>
          </cell>
          <cell r="C47">
            <v>5</v>
          </cell>
          <cell r="D47">
            <v>160316</v>
          </cell>
          <cell r="E47">
            <v>50416</v>
          </cell>
          <cell r="F47" t="str">
            <v>For</v>
          </cell>
          <cell r="G47">
            <v>2917</v>
          </cell>
          <cell r="H47" t="str">
            <v>GESTAO DISTRIBUICAO E LOGISTICA LTDA</v>
          </cell>
          <cell r="I47">
            <v>18874</v>
          </cell>
          <cell r="J47">
            <v>1</v>
          </cell>
          <cell r="K47">
            <v>1</v>
          </cell>
          <cell r="L47">
            <v>341</v>
          </cell>
          <cell r="M47">
            <v>1106.06</v>
          </cell>
          <cell r="N47">
            <v>0</v>
          </cell>
          <cell r="O47">
            <v>0</v>
          </cell>
          <cell r="P47">
            <v>4</v>
          </cell>
          <cell r="Q47">
            <v>50416</v>
          </cell>
        </row>
        <row r="48">
          <cell r="A48">
            <v>47</v>
          </cell>
          <cell r="B48" t="str">
            <v>Pg</v>
          </cell>
          <cell r="C48">
            <v>8</v>
          </cell>
          <cell r="D48">
            <v>160316</v>
          </cell>
          <cell r="E48">
            <v>50416</v>
          </cell>
          <cell r="F48" t="str">
            <v>For</v>
          </cell>
          <cell r="G48">
            <v>2917</v>
          </cell>
          <cell r="H48" t="str">
            <v>GESTAO DISTRIBUICAO E LOGISTICA LTDA</v>
          </cell>
          <cell r="I48">
            <v>18674</v>
          </cell>
          <cell r="J48">
            <v>1</v>
          </cell>
          <cell r="K48">
            <v>1</v>
          </cell>
          <cell r="L48">
            <v>341</v>
          </cell>
          <cell r="M48">
            <v>1406.98</v>
          </cell>
          <cell r="N48">
            <v>0</v>
          </cell>
          <cell r="O48">
            <v>0</v>
          </cell>
          <cell r="P48">
            <v>4</v>
          </cell>
          <cell r="Q48">
            <v>50416</v>
          </cell>
        </row>
        <row r="49">
          <cell r="A49">
            <v>48</v>
          </cell>
          <cell r="B49" t="str">
            <v>Pg</v>
          </cell>
          <cell r="C49">
            <v>9</v>
          </cell>
          <cell r="D49">
            <v>160316</v>
          </cell>
          <cell r="E49">
            <v>50416</v>
          </cell>
          <cell r="F49" t="str">
            <v>For</v>
          </cell>
          <cell r="G49">
            <v>2917</v>
          </cell>
          <cell r="H49" t="str">
            <v>GESTAO DISTRIBUICAO E LOGISTICA LTDA</v>
          </cell>
          <cell r="I49">
            <v>18740</v>
          </cell>
          <cell r="J49">
            <v>1</v>
          </cell>
          <cell r="K49">
            <v>1</v>
          </cell>
          <cell r="L49">
            <v>341</v>
          </cell>
          <cell r="M49">
            <v>2957.56</v>
          </cell>
          <cell r="N49">
            <v>0</v>
          </cell>
          <cell r="O49">
            <v>0</v>
          </cell>
          <cell r="P49">
            <v>4</v>
          </cell>
          <cell r="Q49">
            <v>50416</v>
          </cell>
        </row>
        <row r="50">
          <cell r="A50">
            <v>49</v>
          </cell>
          <cell r="B50" t="str">
            <v>Pg</v>
          </cell>
          <cell r="C50">
            <v>1</v>
          </cell>
          <cell r="D50">
            <v>160316</v>
          </cell>
          <cell r="E50">
            <v>50416</v>
          </cell>
          <cell r="F50" t="str">
            <v>For</v>
          </cell>
          <cell r="G50">
            <v>2917</v>
          </cell>
          <cell r="H50" t="str">
            <v>GESTAO DISTRIBUICAO E LOGISTICA LTDA</v>
          </cell>
          <cell r="I50">
            <v>18675</v>
          </cell>
          <cell r="J50">
            <v>1</v>
          </cell>
          <cell r="K50">
            <v>1</v>
          </cell>
          <cell r="L50">
            <v>341</v>
          </cell>
          <cell r="M50">
            <v>1925.72</v>
          </cell>
          <cell r="N50">
            <v>0</v>
          </cell>
          <cell r="O50">
            <v>0</v>
          </cell>
          <cell r="P50">
            <v>4</v>
          </cell>
          <cell r="Q50">
            <v>50416</v>
          </cell>
        </row>
        <row r="51">
          <cell r="A51">
            <v>50</v>
          </cell>
          <cell r="B51" t="str">
            <v>Pg</v>
          </cell>
          <cell r="C51">
            <v>9</v>
          </cell>
          <cell r="D51">
            <v>160316</v>
          </cell>
          <cell r="E51">
            <v>50416</v>
          </cell>
          <cell r="F51" t="str">
            <v>For</v>
          </cell>
          <cell r="G51">
            <v>989</v>
          </cell>
          <cell r="H51" t="str">
            <v>MARITUCS ALIMENTOS LIMITADA</v>
          </cell>
          <cell r="I51">
            <v>136647</v>
          </cell>
          <cell r="J51">
            <v>1</v>
          </cell>
          <cell r="K51">
            <v>1</v>
          </cell>
          <cell r="L51">
            <v>341</v>
          </cell>
          <cell r="M51">
            <v>1431.95</v>
          </cell>
          <cell r="N51">
            <v>0</v>
          </cell>
          <cell r="O51">
            <v>0</v>
          </cell>
          <cell r="P51">
            <v>4</v>
          </cell>
          <cell r="Q51">
            <v>50416</v>
          </cell>
        </row>
        <row r="52">
          <cell r="A52">
            <v>51</v>
          </cell>
          <cell r="B52" t="str">
            <v>Pg</v>
          </cell>
          <cell r="C52">
            <v>3</v>
          </cell>
          <cell r="D52">
            <v>160316</v>
          </cell>
          <cell r="E52">
            <v>50416</v>
          </cell>
          <cell r="F52" t="str">
            <v>For</v>
          </cell>
          <cell r="G52">
            <v>989</v>
          </cell>
          <cell r="H52" t="str">
            <v>MARITUCS ALIMENTOS LIMITADA</v>
          </cell>
          <cell r="I52">
            <v>136643</v>
          </cell>
          <cell r="J52">
            <v>1</v>
          </cell>
          <cell r="K52">
            <v>1</v>
          </cell>
          <cell r="L52">
            <v>341</v>
          </cell>
          <cell r="M52">
            <v>4745.8999999999996</v>
          </cell>
          <cell r="N52">
            <v>0</v>
          </cell>
          <cell r="O52">
            <v>0</v>
          </cell>
          <cell r="P52">
            <v>4</v>
          </cell>
          <cell r="Q52">
            <v>50416</v>
          </cell>
        </row>
        <row r="53">
          <cell r="A53">
            <v>52</v>
          </cell>
          <cell r="B53" t="str">
            <v>Pg</v>
          </cell>
          <cell r="C53">
            <v>1</v>
          </cell>
          <cell r="D53">
            <v>160316</v>
          </cell>
          <cell r="E53">
            <v>50416</v>
          </cell>
          <cell r="F53" t="str">
            <v>For</v>
          </cell>
          <cell r="G53">
            <v>989</v>
          </cell>
          <cell r="H53" t="str">
            <v>MARITUCS ALIMENTOS LIMITADA</v>
          </cell>
          <cell r="I53">
            <v>136646</v>
          </cell>
          <cell r="J53">
            <v>1</v>
          </cell>
          <cell r="K53">
            <v>1</v>
          </cell>
          <cell r="L53">
            <v>341</v>
          </cell>
          <cell r="M53">
            <v>5183.62</v>
          </cell>
          <cell r="N53">
            <v>0</v>
          </cell>
          <cell r="O53">
            <v>0</v>
          </cell>
          <cell r="P53">
            <v>4</v>
          </cell>
          <cell r="Q53">
            <v>50416</v>
          </cell>
        </row>
        <row r="54">
          <cell r="A54">
            <v>53</v>
          </cell>
          <cell r="B54" t="str">
            <v>Pg</v>
          </cell>
          <cell r="C54">
            <v>6</v>
          </cell>
          <cell r="D54">
            <v>240316</v>
          </cell>
          <cell r="E54">
            <v>50416</v>
          </cell>
          <cell r="F54" t="str">
            <v>For</v>
          </cell>
          <cell r="G54">
            <v>965</v>
          </cell>
          <cell r="H54" t="str">
            <v>CAMESA INDUSTRIA TEXTIL LTDA</v>
          </cell>
          <cell r="I54">
            <v>174300</v>
          </cell>
          <cell r="J54">
            <v>1</v>
          </cell>
          <cell r="K54">
            <v>1</v>
          </cell>
          <cell r="L54">
            <v>341</v>
          </cell>
          <cell r="M54">
            <v>57934.8</v>
          </cell>
          <cell r="N54">
            <v>0</v>
          </cell>
          <cell r="O54">
            <v>0</v>
          </cell>
          <cell r="P54">
            <v>4</v>
          </cell>
          <cell r="Q54">
            <v>50416</v>
          </cell>
        </row>
        <row r="55">
          <cell r="A55">
            <v>54</v>
          </cell>
          <cell r="B55" t="str">
            <v>Pg</v>
          </cell>
          <cell r="C55">
            <v>6</v>
          </cell>
          <cell r="D55">
            <v>280316</v>
          </cell>
          <cell r="E55">
            <v>50416</v>
          </cell>
          <cell r="F55" t="str">
            <v>For</v>
          </cell>
          <cell r="G55">
            <v>303</v>
          </cell>
          <cell r="H55" t="str">
            <v>KOMLOG IMPORTACAO LTDA</v>
          </cell>
          <cell r="I55">
            <v>27895</v>
          </cell>
          <cell r="J55">
            <v>1</v>
          </cell>
          <cell r="K55">
            <v>1</v>
          </cell>
          <cell r="L55">
            <v>341</v>
          </cell>
          <cell r="M55">
            <v>9128.0400000000009</v>
          </cell>
          <cell r="N55">
            <v>0</v>
          </cell>
          <cell r="O55">
            <v>0</v>
          </cell>
          <cell r="P55">
            <v>4</v>
          </cell>
          <cell r="Q55">
            <v>50416</v>
          </cell>
        </row>
        <row r="56">
          <cell r="A56">
            <v>55</v>
          </cell>
          <cell r="B56" t="str">
            <v>Pg</v>
          </cell>
          <cell r="C56">
            <v>3</v>
          </cell>
          <cell r="D56">
            <v>290316</v>
          </cell>
          <cell r="E56">
            <v>50416</v>
          </cell>
          <cell r="F56" t="str">
            <v>For</v>
          </cell>
          <cell r="G56">
            <v>2160</v>
          </cell>
          <cell r="H56" t="str">
            <v>DESTRO BRASIL DISTRIBUICAO LTDA</v>
          </cell>
          <cell r="I56">
            <v>1052161</v>
          </cell>
          <cell r="J56">
            <v>1</v>
          </cell>
          <cell r="K56">
            <v>1</v>
          </cell>
          <cell r="L56">
            <v>341</v>
          </cell>
          <cell r="M56">
            <v>4881.84</v>
          </cell>
          <cell r="N56">
            <v>0</v>
          </cell>
          <cell r="O56">
            <v>0</v>
          </cell>
          <cell r="P56">
            <v>4</v>
          </cell>
          <cell r="Q56">
            <v>50416</v>
          </cell>
        </row>
        <row r="57">
          <cell r="A57">
            <v>56</v>
          </cell>
          <cell r="B57" t="str">
            <v>Pg</v>
          </cell>
          <cell r="C57">
            <v>6</v>
          </cell>
          <cell r="D57">
            <v>310316</v>
          </cell>
          <cell r="E57">
            <v>50416</v>
          </cell>
          <cell r="F57" t="str">
            <v>For</v>
          </cell>
          <cell r="G57">
            <v>2785</v>
          </cell>
          <cell r="H57" t="str">
            <v>NHAC PRODUTOS ALIMENTICIOS MILHO DOCE LTDA - EPP</v>
          </cell>
          <cell r="I57">
            <v>10495</v>
          </cell>
          <cell r="J57">
            <v>1</v>
          </cell>
          <cell r="K57">
            <v>1</v>
          </cell>
          <cell r="L57">
            <v>341</v>
          </cell>
          <cell r="M57">
            <v>31255.62</v>
          </cell>
          <cell r="N57">
            <v>0</v>
          </cell>
          <cell r="O57">
            <v>0</v>
          </cell>
          <cell r="P57">
            <v>4</v>
          </cell>
          <cell r="Q57">
            <v>50416</v>
          </cell>
        </row>
        <row r="58">
          <cell r="A58">
            <v>57</v>
          </cell>
          <cell r="B58" t="str">
            <v>Pg</v>
          </cell>
          <cell r="C58">
            <v>3</v>
          </cell>
          <cell r="D58">
            <v>10416</v>
          </cell>
          <cell r="E58">
            <v>50416</v>
          </cell>
          <cell r="F58" t="str">
            <v>For</v>
          </cell>
          <cell r="G58">
            <v>2088</v>
          </cell>
          <cell r="H58" t="str">
            <v>GIANINA COM.IMPORT. E EXPORT.S/A</v>
          </cell>
          <cell r="I58">
            <v>378788</v>
          </cell>
          <cell r="J58">
            <v>1</v>
          </cell>
          <cell r="K58">
            <v>1</v>
          </cell>
          <cell r="L58">
            <v>341</v>
          </cell>
          <cell r="M58">
            <v>506.4</v>
          </cell>
          <cell r="N58">
            <v>0</v>
          </cell>
          <cell r="O58">
            <v>0</v>
          </cell>
          <cell r="P58">
            <v>4</v>
          </cell>
          <cell r="Q58">
            <v>50416</v>
          </cell>
        </row>
        <row r="59">
          <cell r="A59">
            <v>58</v>
          </cell>
          <cell r="B59" t="str">
            <v>Pg</v>
          </cell>
          <cell r="C59">
            <v>6</v>
          </cell>
          <cell r="D59">
            <v>10416</v>
          </cell>
          <cell r="E59">
            <v>50416</v>
          </cell>
          <cell r="F59" t="str">
            <v>For</v>
          </cell>
          <cell r="G59">
            <v>2678</v>
          </cell>
          <cell r="H59" t="str">
            <v>DMW IND E COM DE MALAS LTDA</v>
          </cell>
          <cell r="I59">
            <v>29184</v>
          </cell>
          <cell r="J59">
            <v>2</v>
          </cell>
          <cell r="K59">
            <v>2</v>
          </cell>
          <cell r="L59">
            <v>341</v>
          </cell>
          <cell r="M59">
            <v>7571.96</v>
          </cell>
          <cell r="N59">
            <v>0</v>
          </cell>
          <cell r="O59">
            <v>0</v>
          </cell>
          <cell r="P59">
            <v>4</v>
          </cell>
          <cell r="Q59">
            <v>50416</v>
          </cell>
        </row>
        <row r="60">
          <cell r="A60">
            <v>59</v>
          </cell>
          <cell r="B60" t="str">
            <v>Pg</v>
          </cell>
          <cell r="C60">
            <v>6</v>
          </cell>
          <cell r="D60">
            <v>40416</v>
          </cell>
          <cell r="E60">
            <v>50416</v>
          </cell>
          <cell r="F60" t="str">
            <v>For</v>
          </cell>
          <cell r="G60">
            <v>976</v>
          </cell>
          <cell r="H60" t="str">
            <v>IND E COM DE ARTIGOS DE ESPUMA KARINA LT</v>
          </cell>
          <cell r="I60">
            <v>4514</v>
          </cell>
          <cell r="J60">
            <v>1</v>
          </cell>
          <cell r="K60">
            <v>1</v>
          </cell>
          <cell r="L60">
            <v>237</v>
          </cell>
          <cell r="M60">
            <v>5000</v>
          </cell>
          <cell r="N60">
            <v>0</v>
          </cell>
          <cell r="O60">
            <v>0</v>
          </cell>
          <cell r="P60">
            <v>14</v>
          </cell>
          <cell r="Q60">
            <v>50416</v>
          </cell>
        </row>
        <row r="61">
          <cell r="A61">
            <v>60</v>
          </cell>
          <cell r="B61" t="str">
            <v>Pg</v>
          </cell>
          <cell r="C61">
            <v>6</v>
          </cell>
          <cell r="D61">
            <v>50416</v>
          </cell>
          <cell r="E61">
            <v>50416</v>
          </cell>
          <cell r="F61" t="str">
            <v>For</v>
          </cell>
          <cell r="G61">
            <v>1733</v>
          </cell>
          <cell r="H61" t="str">
            <v>CARLOS ROBERTO DOS SANTOS UTILIDADES DOMESTICA ME</v>
          </cell>
          <cell r="I61">
            <v>1509</v>
          </cell>
          <cell r="J61">
            <v>1</v>
          </cell>
          <cell r="K61">
            <v>1</v>
          </cell>
          <cell r="L61">
            <v>341</v>
          </cell>
          <cell r="M61">
            <v>13650</v>
          </cell>
          <cell r="N61">
            <v>0</v>
          </cell>
          <cell r="O61">
            <v>0</v>
          </cell>
          <cell r="P61">
            <v>4</v>
          </cell>
          <cell r="Q61">
            <v>50416</v>
          </cell>
        </row>
        <row r="62">
          <cell r="A62">
            <v>61</v>
          </cell>
          <cell r="B62" t="str">
            <v>Pg</v>
          </cell>
          <cell r="C62">
            <v>6</v>
          </cell>
          <cell r="D62">
            <v>50416</v>
          </cell>
          <cell r="E62">
            <v>50416</v>
          </cell>
          <cell r="F62" t="str">
            <v>For</v>
          </cell>
          <cell r="G62">
            <v>2095</v>
          </cell>
          <cell r="H62" t="str">
            <v>SILMARA ROSA DO CARMO MONTEIRO</v>
          </cell>
          <cell r="I62">
            <v>76</v>
          </cell>
          <cell r="J62">
            <v>1</v>
          </cell>
          <cell r="K62">
            <v>1</v>
          </cell>
          <cell r="L62">
            <v>341</v>
          </cell>
          <cell r="M62">
            <v>7000</v>
          </cell>
          <cell r="N62">
            <v>915.28</v>
          </cell>
          <cell r="O62">
            <v>0</v>
          </cell>
          <cell r="P62">
            <v>14</v>
          </cell>
          <cell r="Q62">
            <v>50416</v>
          </cell>
        </row>
        <row r="63">
          <cell r="A63">
            <v>62</v>
          </cell>
          <cell r="B63" t="str">
            <v>Pg</v>
          </cell>
          <cell r="C63">
            <v>6</v>
          </cell>
          <cell r="D63">
            <v>30316</v>
          </cell>
          <cell r="E63">
            <v>60416</v>
          </cell>
          <cell r="F63" t="str">
            <v>For</v>
          </cell>
          <cell r="G63">
            <v>1388</v>
          </cell>
          <cell r="H63" t="str">
            <v>PRAFESTA IND E COM DE ART DE FESTA LTDA</v>
          </cell>
          <cell r="I63">
            <v>191138</v>
          </cell>
          <cell r="J63">
            <v>2</v>
          </cell>
          <cell r="K63">
            <v>3</v>
          </cell>
          <cell r="L63">
            <v>341</v>
          </cell>
          <cell r="M63">
            <v>496.14</v>
          </cell>
          <cell r="N63">
            <v>0</v>
          </cell>
          <cell r="O63">
            <v>0</v>
          </cell>
          <cell r="P63">
            <v>4</v>
          </cell>
          <cell r="Q63">
            <v>60416</v>
          </cell>
        </row>
        <row r="64">
          <cell r="A64">
            <v>63</v>
          </cell>
          <cell r="B64" t="str">
            <v>Pg</v>
          </cell>
          <cell r="C64">
            <v>6</v>
          </cell>
          <cell r="D64">
            <v>90316</v>
          </cell>
          <cell r="E64">
            <v>60416</v>
          </cell>
          <cell r="F64" t="str">
            <v>For</v>
          </cell>
          <cell r="G64">
            <v>1009</v>
          </cell>
          <cell r="H64" t="str">
            <v>DORI IND.COM.PROD.ALIMENT.LTDA</v>
          </cell>
          <cell r="I64">
            <v>611595</v>
          </cell>
          <cell r="J64">
            <v>1</v>
          </cell>
          <cell r="K64">
            <v>3</v>
          </cell>
          <cell r="L64">
            <v>341</v>
          </cell>
          <cell r="M64">
            <v>3633.81</v>
          </cell>
          <cell r="N64">
            <v>0</v>
          </cell>
          <cell r="O64">
            <v>0</v>
          </cell>
          <cell r="P64">
            <v>4</v>
          </cell>
          <cell r="Q64">
            <v>60416</v>
          </cell>
        </row>
        <row r="65">
          <cell r="A65">
            <v>64</v>
          </cell>
          <cell r="B65" t="str">
            <v>Pg</v>
          </cell>
          <cell r="C65">
            <v>9</v>
          </cell>
          <cell r="D65">
            <v>100316</v>
          </cell>
          <cell r="E65">
            <v>60416</v>
          </cell>
          <cell r="F65" t="str">
            <v>For</v>
          </cell>
          <cell r="G65">
            <v>1845</v>
          </cell>
          <cell r="H65" t="str">
            <v>PERFETTI VAN MELLE DISTRIBUIDORA LTDA</v>
          </cell>
          <cell r="I65">
            <v>45305</v>
          </cell>
          <cell r="J65">
            <v>1</v>
          </cell>
          <cell r="K65">
            <v>1</v>
          </cell>
          <cell r="L65">
            <v>999</v>
          </cell>
          <cell r="M65">
            <v>2228.2600000000002</v>
          </cell>
          <cell r="N65">
            <v>0</v>
          </cell>
          <cell r="O65">
            <v>0</v>
          </cell>
          <cell r="P65">
            <v>4</v>
          </cell>
          <cell r="Q65">
            <v>50416</v>
          </cell>
        </row>
        <row r="66">
          <cell r="A66">
            <v>65</v>
          </cell>
          <cell r="B66" t="str">
            <v>Pg</v>
          </cell>
          <cell r="C66">
            <v>5</v>
          </cell>
          <cell r="D66">
            <v>140316</v>
          </cell>
          <cell r="E66">
            <v>60416</v>
          </cell>
          <cell r="F66" t="str">
            <v>For</v>
          </cell>
          <cell r="G66">
            <v>1887</v>
          </cell>
          <cell r="H66" t="str">
            <v>NUCLEO DE ABASTEC. DE ARTIG. DE HIG. AO VAREJ. LTDA</v>
          </cell>
          <cell r="I66">
            <v>194319</v>
          </cell>
          <cell r="J66">
            <v>1</v>
          </cell>
          <cell r="K66">
            <v>1</v>
          </cell>
          <cell r="L66">
            <v>341</v>
          </cell>
          <cell r="M66">
            <v>2025</v>
          </cell>
          <cell r="N66">
            <v>0</v>
          </cell>
          <cell r="O66">
            <v>0</v>
          </cell>
          <cell r="P66">
            <v>4</v>
          </cell>
          <cell r="Q66">
            <v>60416</v>
          </cell>
        </row>
        <row r="67">
          <cell r="A67">
            <v>66</v>
          </cell>
          <cell r="B67" t="str">
            <v>Pg</v>
          </cell>
          <cell r="C67">
            <v>3</v>
          </cell>
          <cell r="D67">
            <v>140316</v>
          </cell>
          <cell r="E67">
            <v>60416</v>
          </cell>
          <cell r="F67" t="str">
            <v>For</v>
          </cell>
          <cell r="G67">
            <v>1887</v>
          </cell>
          <cell r="H67" t="str">
            <v>NUCLEO DE ABASTEC. DE ARTIG. DE HIG. AO VAREJ. LTDA</v>
          </cell>
          <cell r="I67">
            <v>194318</v>
          </cell>
          <cell r="J67">
            <v>1</v>
          </cell>
          <cell r="K67">
            <v>1</v>
          </cell>
          <cell r="L67">
            <v>341</v>
          </cell>
          <cell r="M67">
            <v>747.14</v>
          </cell>
          <cell r="N67">
            <v>0</v>
          </cell>
          <cell r="O67">
            <v>0</v>
          </cell>
          <cell r="P67">
            <v>4</v>
          </cell>
          <cell r="Q67">
            <v>60416</v>
          </cell>
        </row>
        <row r="68">
          <cell r="A68">
            <v>67</v>
          </cell>
          <cell r="B68" t="str">
            <v>Pg</v>
          </cell>
          <cell r="C68">
            <v>3</v>
          </cell>
          <cell r="D68">
            <v>140316</v>
          </cell>
          <cell r="E68">
            <v>60416</v>
          </cell>
          <cell r="F68" t="str">
            <v>For</v>
          </cell>
          <cell r="G68">
            <v>1887</v>
          </cell>
          <cell r="H68" t="str">
            <v>NUCLEO DE ABASTEC. DE ARTIG. DE HIG. AO VAREJ. LTDA</v>
          </cell>
          <cell r="I68">
            <v>194320</v>
          </cell>
          <cell r="J68">
            <v>1</v>
          </cell>
          <cell r="K68">
            <v>1</v>
          </cell>
          <cell r="L68">
            <v>341</v>
          </cell>
          <cell r="M68">
            <v>2430</v>
          </cell>
          <cell r="N68">
            <v>0</v>
          </cell>
          <cell r="O68">
            <v>0</v>
          </cell>
          <cell r="P68">
            <v>4</v>
          </cell>
          <cell r="Q68">
            <v>60416</v>
          </cell>
        </row>
        <row r="69">
          <cell r="A69">
            <v>68</v>
          </cell>
          <cell r="B69" t="str">
            <v>Pg</v>
          </cell>
          <cell r="C69">
            <v>3</v>
          </cell>
          <cell r="D69">
            <v>140316</v>
          </cell>
          <cell r="E69">
            <v>60416</v>
          </cell>
          <cell r="F69" t="str">
            <v>For</v>
          </cell>
          <cell r="G69">
            <v>2198</v>
          </cell>
          <cell r="H69" t="str">
            <v>LIDERANCA DE ABAST DE ART DE HIGIENE AO VAREJISTA LTDA</v>
          </cell>
          <cell r="I69">
            <v>501922</v>
          </cell>
          <cell r="J69">
            <v>1</v>
          </cell>
          <cell r="K69">
            <v>1</v>
          </cell>
          <cell r="L69">
            <v>341</v>
          </cell>
          <cell r="M69">
            <v>1371.92</v>
          </cell>
          <cell r="N69">
            <v>0</v>
          </cell>
          <cell r="O69">
            <v>0</v>
          </cell>
          <cell r="P69">
            <v>4</v>
          </cell>
          <cell r="Q69">
            <v>60416</v>
          </cell>
        </row>
        <row r="70">
          <cell r="A70">
            <v>69</v>
          </cell>
          <cell r="B70" t="str">
            <v>Pg</v>
          </cell>
          <cell r="C70">
            <v>3</v>
          </cell>
          <cell r="D70">
            <v>170316</v>
          </cell>
          <cell r="E70">
            <v>60416</v>
          </cell>
          <cell r="F70" t="str">
            <v>For</v>
          </cell>
          <cell r="G70">
            <v>2799</v>
          </cell>
          <cell r="H70" t="str">
            <v>TOP SERVICE DIST DE PROD DE CON PESSOAL LTDA</v>
          </cell>
          <cell r="I70">
            <v>126268</v>
          </cell>
          <cell r="J70">
            <v>1</v>
          </cell>
          <cell r="K70">
            <v>1</v>
          </cell>
          <cell r="L70">
            <v>341</v>
          </cell>
          <cell r="M70">
            <v>1068.24</v>
          </cell>
          <cell r="N70">
            <v>0</v>
          </cell>
          <cell r="O70">
            <v>0</v>
          </cell>
          <cell r="P70">
            <v>4</v>
          </cell>
          <cell r="Q70">
            <v>60416</v>
          </cell>
        </row>
        <row r="71">
          <cell r="A71">
            <v>70</v>
          </cell>
          <cell r="B71" t="str">
            <v>Pg</v>
          </cell>
          <cell r="C71">
            <v>1</v>
          </cell>
          <cell r="D71">
            <v>170316</v>
          </cell>
          <cell r="E71">
            <v>60416</v>
          </cell>
          <cell r="F71" t="str">
            <v>For</v>
          </cell>
          <cell r="G71">
            <v>1887</v>
          </cell>
          <cell r="H71" t="str">
            <v>NUCLEO DE ABASTEC. DE ARTIG. DE HIG. AO VAREJ. LTDA</v>
          </cell>
          <cell r="I71">
            <v>194321</v>
          </cell>
          <cell r="J71">
            <v>1</v>
          </cell>
          <cell r="K71">
            <v>1</v>
          </cell>
          <cell r="L71">
            <v>341</v>
          </cell>
          <cell r="M71">
            <v>3240</v>
          </cell>
          <cell r="N71">
            <v>0</v>
          </cell>
          <cell r="O71">
            <v>0</v>
          </cell>
          <cell r="P71">
            <v>4</v>
          </cell>
          <cell r="Q71">
            <v>60416</v>
          </cell>
        </row>
        <row r="72">
          <cell r="A72">
            <v>71</v>
          </cell>
          <cell r="B72" t="str">
            <v>Pg</v>
          </cell>
          <cell r="C72">
            <v>3</v>
          </cell>
          <cell r="D72">
            <v>280316</v>
          </cell>
          <cell r="E72">
            <v>60416</v>
          </cell>
          <cell r="F72" t="str">
            <v>For</v>
          </cell>
          <cell r="G72">
            <v>989</v>
          </cell>
          <cell r="H72" t="str">
            <v>MARITUCS ALIMENTOS LIMITADA</v>
          </cell>
          <cell r="I72">
            <v>137454</v>
          </cell>
          <cell r="J72">
            <v>1</v>
          </cell>
          <cell r="K72">
            <v>1</v>
          </cell>
          <cell r="L72">
            <v>341</v>
          </cell>
          <cell r="M72">
            <v>3181.96</v>
          </cell>
          <cell r="N72">
            <v>0</v>
          </cell>
          <cell r="O72">
            <v>0</v>
          </cell>
          <cell r="P72">
            <v>4</v>
          </cell>
          <cell r="Q72">
            <v>60416</v>
          </cell>
        </row>
        <row r="73">
          <cell r="A73">
            <v>72</v>
          </cell>
          <cell r="B73" t="str">
            <v>Pg</v>
          </cell>
          <cell r="C73">
            <v>3</v>
          </cell>
          <cell r="D73">
            <v>10416</v>
          </cell>
          <cell r="E73">
            <v>60416</v>
          </cell>
          <cell r="F73" t="str">
            <v>For</v>
          </cell>
          <cell r="G73">
            <v>2088</v>
          </cell>
          <cell r="H73" t="str">
            <v>GIANINA COM.IMPORT. E EXPORT.S/A</v>
          </cell>
          <cell r="I73">
            <v>378522</v>
          </cell>
          <cell r="J73">
            <v>1</v>
          </cell>
          <cell r="K73">
            <v>1</v>
          </cell>
          <cell r="L73">
            <v>999</v>
          </cell>
          <cell r="M73">
            <v>7172.86</v>
          </cell>
          <cell r="N73">
            <v>0</v>
          </cell>
          <cell r="O73">
            <v>0</v>
          </cell>
          <cell r="P73">
            <v>4</v>
          </cell>
          <cell r="Q73">
            <v>50416</v>
          </cell>
        </row>
        <row r="74">
          <cell r="A74">
            <v>73</v>
          </cell>
          <cell r="B74" t="str">
            <v>Pg</v>
          </cell>
          <cell r="C74">
            <v>1</v>
          </cell>
          <cell r="D74">
            <v>50416</v>
          </cell>
          <cell r="E74">
            <v>60416</v>
          </cell>
          <cell r="F74" t="str">
            <v>For</v>
          </cell>
          <cell r="G74">
            <v>445</v>
          </cell>
          <cell r="H74" t="str">
            <v>NEWLAR DISTR.DE UTILID.DOMESTICAS LTDA.</v>
          </cell>
          <cell r="I74">
            <v>34779</v>
          </cell>
          <cell r="J74">
            <v>1</v>
          </cell>
          <cell r="K74">
            <v>1</v>
          </cell>
          <cell r="L74">
            <v>237</v>
          </cell>
          <cell r="M74">
            <v>957</v>
          </cell>
          <cell r="N74">
            <v>0</v>
          </cell>
          <cell r="O74">
            <v>0</v>
          </cell>
          <cell r="P74">
            <v>14</v>
          </cell>
          <cell r="Q74">
            <v>60416</v>
          </cell>
        </row>
        <row r="75">
          <cell r="A75">
            <v>74</v>
          </cell>
          <cell r="B75" t="str">
            <v>Pg</v>
          </cell>
          <cell r="C75">
            <v>5</v>
          </cell>
          <cell r="D75">
            <v>50416</v>
          </cell>
          <cell r="E75">
            <v>60416</v>
          </cell>
          <cell r="F75" t="str">
            <v>For</v>
          </cell>
          <cell r="G75">
            <v>445</v>
          </cell>
          <cell r="H75" t="str">
            <v>NEWLAR DISTR.DE UTILID.DOMESTICAS LTDA.</v>
          </cell>
          <cell r="I75">
            <v>34780</v>
          </cell>
          <cell r="J75">
            <v>1</v>
          </cell>
          <cell r="K75">
            <v>1</v>
          </cell>
          <cell r="L75">
            <v>237</v>
          </cell>
          <cell r="M75">
            <v>721.8</v>
          </cell>
          <cell r="N75">
            <v>0</v>
          </cell>
          <cell r="O75">
            <v>0</v>
          </cell>
          <cell r="P75">
            <v>14</v>
          </cell>
          <cell r="Q75">
            <v>60416</v>
          </cell>
        </row>
        <row r="76">
          <cell r="A76">
            <v>75</v>
          </cell>
          <cell r="B76" t="str">
            <v>Pg</v>
          </cell>
          <cell r="C76">
            <v>9</v>
          </cell>
          <cell r="D76">
            <v>50416</v>
          </cell>
          <cell r="E76">
            <v>60416</v>
          </cell>
          <cell r="F76" t="str">
            <v>For</v>
          </cell>
          <cell r="G76">
            <v>445</v>
          </cell>
          <cell r="H76" t="str">
            <v>NEWLAR DISTR.DE UTILID.DOMESTICAS LTDA.</v>
          </cell>
          <cell r="I76">
            <v>34776</v>
          </cell>
          <cell r="J76">
            <v>1</v>
          </cell>
          <cell r="K76">
            <v>1</v>
          </cell>
          <cell r="L76">
            <v>237</v>
          </cell>
          <cell r="M76">
            <v>1576.32</v>
          </cell>
          <cell r="N76">
            <v>0</v>
          </cell>
          <cell r="O76">
            <v>0</v>
          </cell>
          <cell r="P76">
            <v>14</v>
          </cell>
          <cell r="Q76">
            <v>60416</v>
          </cell>
        </row>
        <row r="77">
          <cell r="A77">
            <v>76</v>
          </cell>
          <cell r="B77" t="str">
            <v>Pg</v>
          </cell>
          <cell r="C77">
            <v>3</v>
          </cell>
          <cell r="D77">
            <v>50416</v>
          </cell>
          <cell r="E77">
            <v>60416</v>
          </cell>
          <cell r="F77" t="str">
            <v>For</v>
          </cell>
          <cell r="G77">
            <v>445</v>
          </cell>
          <cell r="H77" t="str">
            <v>NEWLAR DISTR.DE UTILID.DOMESTICAS LTDA.</v>
          </cell>
          <cell r="I77">
            <v>34777</v>
          </cell>
          <cell r="J77">
            <v>1</v>
          </cell>
          <cell r="K77">
            <v>1</v>
          </cell>
          <cell r="L77">
            <v>237</v>
          </cell>
          <cell r="M77">
            <v>748.32</v>
          </cell>
          <cell r="N77">
            <v>0</v>
          </cell>
          <cell r="O77">
            <v>0</v>
          </cell>
          <cell r="P77">
            <v>14</v>
          </cell>
          <cell r="Q77">
            <v>60416</v>
          </cell>
        </row>
        <row r="78">
          <cell r="A78">
            <v>77</v>
          </cell>
          <cell r="B78" t="str">
            <v>Pg</v>
          </cell>
          <cell r="C78">
            <v>8</v>
          </cell>
          <cell r="D78">
            <v>50416</v>
          </cell>
          <cell r="E78">
            <v>60416</v>
          </cell>
          <cell r="F78" t="str">
            <v>For</v>
          </cell>
          <cell r="G78">
            <v>445</v>
          </cell>
          <cell r="H78" t="str">
            <v>NEWLAR DISTR.DE UTILID.DOMESTICAS LTDA.</v>
          </cell>
          <cell r="I78">
            <v>34778</v>
          </cell>
          <cell r="J78">
            <v>1</v>
          </cell>
          <cell r="K78">
            <v>1</v>
          </cell>
          <cell r="L78">
            <v>237</v>
          </cell>
          <cell r="M78">
            <v>543.6</v>
          </cell>
          <cell r="N78">
            <v>0</v>
          </cell>
          <cell r="O78">
            <v>0</v>
          </cell>
          <cell r="P78">
            <v>14</v>
          </cell>
          <cell r="Q78">
            <v>60416</v>
          </cell>
        </row>
        <row r="79">
          <cell r="A79">
            <v>78</v>
          </cell>
          <cell r="B79" t="str">
            <v>Pg</v>
          </cell>
          <cell r="C79">
            <v>1</v>
          </cell>
          <cell r="D79">
            <v>50416</v>
          </cell>
          <cell r="E79">
            <v>60416</v>
          </cell>
          <cell r="F79" t="str">
            <v>For</v>
          </cell>
          <cell r="G79">
            <v>2334</v>
          </cell>
          <cell r="H79" t="str">
            <v>EUNICE AFONSO PACHECO</v>
          </cell>
          <cell r="I79">
            <v>98</v>
          </cell>
          <cell r="J79">
            <v>1</v>
          </cell>
          <cell r="K79">
            <v>1</v>
          </cell>
          <cell r="L79">
            <v>341</v>
          </cell>
          <cell r="M79">
            <v>947</v>
          </cell>
          <cell r="N79">
            <v>0</v>
          </cell>
          <cell r="O79">
            <v>0</v>
          </cell>
          <cell r="P79">
            <v>14</v>
          </cell>
          <cell r="Q79">
            <v>60416</v>
          </cell>
        </row>
        <row r="80">
          <cell r="A80">
            <v>79</v>
          </cell>
          <cell r="B80" t="str">
            <v>Pg</v>
          </cell>
          <cell r="C80">
            <v>3</v>
          </cell>
          <cell r="D80">
            <v>50416</v>
          </cell>
          <cell r="E80">
            <v>60416</v>
          </cell>
          <cell r="F80" t="str">
            <v>For</v>
          </cell>
          <cell r="G80">
            <v>561</v>
          </cell>
          <cell r="H80" t="str">
            <v>ROBERTO CARLOS OLIVEIRA GOMES ME</v>
          </cell>
          <cell r="I80">
            <v>642</v>
          </cell>
          <cell r="J80">
            <v>1</v>
          </cell>
          <cell r="K80">
            <v>1</v>
          </cell>
          <cell r="L80">
            <v>237</v>
          </cell>
          <cell r="M80">
            <v>1860</v>
          </cell>
          <cell r="N80">
            <v>0</v>
          </cell>
          <cell r="O80">
            <v>0</v>
          </cell>
          <cell r="P80">
            <v>14</v>
          </cell>
          <cell r="Q80">
            <v>60416</v>
          </cell>
        </row>
        <row r="81">
          <cell r="A81">
            <v>80</v>
          </cell>
          <cell r="B81" t="str">
            <v>Pg</v>
          </cell>
          <cell r="C81">
            <v>9</v>
          </cell>
          <cell r="D81">
            <v>50416</v>
          </cell>
          <cell r="E81">
            <v>60416</v>
          </cell>
          <cell r="F81" t="str">
            <v>For</v>
          </cell>
          <cell r="G81">
            <v>561</v>
          </cell>
          <cell r="H81" t="str">
            <v>ROBERTO CARLOS OLIVEIRA GOMES ME</v>
          </cell>
          <cell r="I81">
            <v>643</v>
          </cell>
          <cell r="J81">
            <v>1</v>
          </cell>
          <cell r="K81">
            <v>1</v>
          </cell>
          <cell r="L81">
            <v>237</v>
          </cell>
          <cell r="M81">
            <v>1386</v>
          </cell>
          <cell r="N81">
            <v>0</v>
          </cell>
          <cell r="O81">
            <v>0</v>
          </cell>
          <cell r="P81">
            <v>14</v>
          </cell>
          <cell r="Q81">
            <v>60416</v>
          </cell>
        </row>
        <row r="82">
          <cell r="A82">
            <v>81</v>
          </cell>
          <cell r="B82" t="str">
            <v>Pg</v>
          </cell>
          <cell r="C82">
            <v>6</v>
          </cell>
          <cell r="D82">
            <v>101215</v>
          </cell>
          <cell r="E82">
            <v>70416</v>
          </cell>
          <cell r="F82" t="str">
            <v>For</v>
          </cell>
          <cell r="G82">
            <v>1690</v>
          </cell>
          <cell r="H82" t="str">
            <v>MIELLE IND. E COM. DE PLASTICOS LTDA</v>
          </cell>
          <cell r="I82">
            <v>10751</v>
          </cell>
          <cell r="J82">
            <v>3</v>
          </cell>
          <cell r="K82">
            <v>4</v>
          </cell>
          <cell r="L82">
            <v>341</v>
          </cell>
          <cell r="M82">
            <v>3722</v>
          </cell>
          <cell r="N82">
            <v>0</v>
          </cell>
          <cell r="O82">
            <v>0</v>
          </cell>
          <cell r="P82">
            <v>4</v>
          </cell>
          <cell r="Q82">
            <v>70416</v>
          </cell>
        </row>
        <row r="83">
          <cell r="A83">
            <v>82</v>
          </cell>
          <cell r="B83" t="str">
            <v>Pg</v>
          </cell>
          <cell r="C83">
            <v>6</v>
          </cell>
          <cell r="D83">
            <v>101215</v>
          </cell>
          <cell r="E83">
            <v>70416</v>
          </cell>
          <cell r="F83" t="str">
            <v>For</v>
          </cell>
          <cell r="G83">
            <v>1690</v>
          </cell>
          <cell r="H83" t="str">
            <v>MIELLE IND. E COM. DE PLASTICOS LTDA</v>
          </cell>
          <cell r="I83">
            <v>10749</v>
          </cell>
          <cell r="J83">
            <v>3</v>
          </cell>
          <cell r="K83">
            <v>4</v>
          </cell>
          <cell r="L83">
            <v>341</v>
          </cell>
          <cell r="M83">
            <v>6892.68</v>
          </cell>
          <cell r="N83">
            <v>0</v>
          </cell>
          <cell r="O83">
            <v>0</v>
          </cell>
          <cell r="P83">
            <v>4</v>
          </cell>
          <cell r="Q83">
            <v>70416</v>
          </cell>
        </row>
        <row r="84">
          <cell r="A84">
            <v>83</v>
          </cell>
          <cell r="B84" t="str">
            <v>Pg</v>
          </cell>
          <cell r="C84">
            <v>6</v>
          </cell>
          <cell r="D84">
            <v>50216</v>
          </cell>
          <cell r="E84">
            <v>70416</v>
          </cell>
          <cell r="F84" t="str">
            <v>For</v>
          </cell>
          <cell r="G84">
            <v>1012</v>
          </cell>
          <cell r="H84" t="str">
            <v>SUTT COMERCIO E IMPORTACAO LTDA.</v>
          </cell>
          <cell r="I84">
            <v>27983</v>
          </cell>
          <cell r="J84">
            <v>1</v>
          </cell>
          <cell r="K84">
            <v>1</v>
          </cell>
          <cell r="L84">
            <v>341</v>
          </cell>
          <cell r="M84">
            <v>27865.98</v>
          </cell>
          <cell r="N84">
            <v>0</v>
          </cell>
          <cell r="O84">
            <v>0</v>
          </cell>
          <cell r="P84">
            <v>4</v>
          </cell>
          <cell r="Q84">
            <v>70416</v>
          </cell>
        </row>
        <row r="85">
          <cell r="A85">
            <v>84</v>
          </cell>
          <cell r="B85" t="str">
            <v>Pg</v>
          </cell>
          <cell r="C85">
            <v>6</v>
          </cell>
          <cell r="D85">
            <v>90316</v>
          </cell>
          <cell r="E85">
            <v>70416</v>
          </cell>
          <cell r="F85" t="str">
            <v>For</v>
          </cell>
          <cell r="G85">
            <v>2802</v>
          </cell>
          <cell r="H85" t="str">
            <v>LUIZ EDUARDO QUADRINI CASTILHO</v>
          </cell>
          <cell r="I85">
            <v>10903</v>
          </cell>
          <cell r="J85">
            <v>1</v>
          </cell>
          <cell r="K85">
            <v>1</v>
          </cell>
          <cell r="L85">
            <v>341</v>
          </cell>
          <cell r="M85">
            <v>12836.4</v>
          </cell>
          <cell r="N85">
            <v>0</v>
          </cell>
          <cell r="O85">
            <v>0</v>
          </cell>
          <cell r="P85">
            <v>4</v>
          </cell>
          <cell r="Q85">
            <v>70416</v>
          </cell>
        </row>
        <row r="86">
          <cell r="A86">
            <v>85</v>
          </cell>
          <cell r="B86" t="str">
            <v>Pg</v>
          </cell>
          <cell r="C86">
            <v>6</v>
          </cell>
          <cell r="D86">
            <v>140316</v>
          </cell>
          <cell r="E86">
            <v>70416</v>
          </cell>
          <cell r="F86" t="str">
            <v>For</v>
          </cell>
          <cell r="G86">
            <v>58</v>
          </cell>
          <cell r="H86" t="str">
            <v>CALESITA INDUSTRIA DE BRINQUEDOS  LTDA</v>
          </cell>
          <cell r="I86">
            <v>82902</v>
          </cell>
          <cell r="J86">
            <v>1</v>
          </cell>
          <cell r="K86">
            <v>1</v>
          </cell>
          <cell r="L86">
            <v>999</v>
          </cell>
          <cell r="M86">
            <v>5678.89</v>
          </cell>
          <cell r="N86">
            <v>0</v>
          </cell>
          <cell r="O86">
            <v>0</v>
          </cell>
          <cell r="P86">
            <v>4</v>
          </cell>
          <cell r="Q86">
            <v>60416</v>
          </cell>
        </row>
        <row r="87">
          <cell r="A87">
            <v>86</v>
          </cell>
          <cell r="B87" t="str">
            <v>Pg</v>
          </cell>
          <cell r="C87">
            <v>6</v>
          </cell>
          <cell r="D87">
            <v>180316</v>
          </cell>
          <cell r="E87">
            <v>70416</v>
          </cell>
          <cell r="F87" t="str">
            <v>For</v>
          </cell>
          <cell r="G87">
            <v>1807</v>
          </cell>
          <cell r="H87" t="str">
            <v>FERRASPARI IND. E COM.DE BEBIDAS LTDA</v>
          </cell>
          <cell r="I87">
            <v>72332</v>
          </cell>
          <cell r="J87">
            <v>1</v>
          </cell>
          <cell r="K87">
            <v>1</v>
          </cell>
          <cell r="L87">
            <v>341</v>
          </cell>
          <cell r="M87">
            <v>4281.72</v>
          </cell>
          <cell r="N87">
            <v>0</v>
          </cell>
          <cell r="O87">
            <v>0</v>
          </cell>
          <cell r="P87">
            <v>4</v>
          </cell>
          <cell r="Q87">
            <v>70416</v>
          </cell>
        </row>
        <row r="88">
          <cell r="A88">
            <v>87</v>
          </cell>
          <cell r="B88" t="str">
            <v>Pg</v>
          </cell>
          <cell r="C88">
            <v>6</v>
          </cell>
          <cell r="D88">
            <v>240316</v>
          </cell>
          <cell r="E88">
            <v>70416</v>
          </cell>
          <cell r="F88" t="str">
            <v>For</v>
          </cell>
          <cell r="G88">
            <v>1747</v>
          </cell>
          <cell r="H88" t="str">
            <v>TOYPLAST PLASTICOS LTDA</v>
          </cell>
          <cell r="I88">
            <v>48634</v>
          </cell>
          <cell r="J88">
            <v>1</v>
          </cell>
          <cell r="K88">
            <v>1</v>
          </cell>
          <cell r="L88">
            <v>341</v>
          </cell>
          <cell r="M88">
            <v>83487.5</v>
          </cell>
          <cell r="N88">
            <v>0</v>
          </cell>
          <cell r="O88">
            <v>0</v>
          </cell>
          <cell r="P88">
            <v>4</v>
          </cell>
          <cell r="Q88">
            <v>70416</v>
          </cell>
        </row>
        <row r="89">
          <cell r="A89">
            <v>88</v>
          </cell>
          <cell r="B89" t="str">
            <v>Pg</v>
          </cell>
          <cell r="C89">
            <v>6</v>
          </cell>
          <cell r="D89">
            <v>280316</v>
          </cell>
          <cell r="E89">
            <v>70416</v>
          </cell>
          <cell r="F89" t="str">
            <v>For</v>
          </cell>
          <cell r="G89">
            <v>1915</v>
          </cell>
          <cell r="H89" t="str">
            <v>MARIA JOSE GONCALVES SILVA ME</v>
          </cell>
          <cell r="I89">
            <v>20263</v>
          </cell>
          <cell r="J89">
            <v>1</v>
          </cell>
          <cell r="K89">
            <v>1</v>
          </cell>
          <cell r="L89">
            <v>341</v>
          </cell>
          <cell r="M89">
            <v>5408.3</v>
          </cell>
          <cell r="N89">
            <v>0</v>
          </cell>
          <cell r="O89">
            <v>0</v>
          </cell>
          <cell r="P89">
            <v>4</v>
          </cell>
          <cell r="Q89">
            <v>70416</v>
          </cell>
        </row>
        <row r="90">
          <cell r="A90">
            <v>89</v>
          </cell>
          <cell r="B90" t="str">
            <v>Pg</v>
          </cell>
          <cell r="C90">
            <v>5</v>
          </cell>
          <cell r="D90">
            <v>280316</v>
          </cell>
          <cell r="E90">
            <v>70416</v>
          </cell>
          <cell r="F90" t="str">
            <v>For</v>
          </cell>
          <cell r="G90">
            <v>1650</v>
          </cell>
          <cell r="H90" t="str">
            <v>FIFOS IND. E COM. DE PRODUTOS ALIM. LTDA EPP</v>
          </cell>
          <cell r="I90">
            <v>25888</v>
          </cell>
          <cell r="J90">
            <v>1</v>
          </cell>
          <cell r="K90">
            <v>1</v>
          </cell>
          <cell r="L90">
            <v>341</v>
          </cell>
          <cell r="M90">
            <v>614.94000000000005</v>
          </cell>
          <cell r="N90">
            <v>0</v>
          </cell>
          <cell r="O90">
            <v>0</v>
          </cell>
          <cell r="P90">
            <v>4</v>
          </cell>
          <cell r="Q90">
            <v>70416</v>
          </cell>
        </row>
        <row r="91">
          <cell r="A91">
            <v>90</v>
          </cell>
          <cell r="B91" t="str">
            <v>Pg</v>
          </cell>
          <cell r="C91">
            <v>6</v>
          </cell>
          <cell r="D91">
            <v>300316</v>
          </cell>
          <cell r="E91">
            <v>70416</v>
          </cell>
          <cell r="F91" t="str">
            <v>For</v>
          </cell>
          <cell r="G91">
            <v>2347</v>
          </cell>
          <cell r="H91" t="str">
            <v>CJ COMERCIO DE VIDROS LTDA</v>
          </cell>
          <cell r="I91">
            <v>337</v>
          </cell>
          <cell r="J91">
            <v>1</v>
          </cell>
          <cell r="K91">
            <v>1</v>
          </cell>
          <cell r="L91">
            <v>341</v>
          </cell>
          <cell r="M91">
            <v>1275</v>
          </cell>
          <cell r="N91">
            <v>0</v>
          </cell>
          <cell r="O91">
            <v>0</v>
          </cell>
          <cell r="P91">
            <v>4</v>
          </cell>
          <cell r="Q91">
            <v>70416</v>
          </cell>
        </row>
        <row r="92">
          <cell r="A92">
            <v>91</v>
          </cell>
          <cell r="B92" t="str">
            <v>Pg</v>
          </cell>
          <cell r="C92">
            <v>3</v>
          </cell>
          <cell r="D92">
            <v>300316</v>
          </cell>
          <cell r="E92">
            <v>70416</v>
          </cell>
          <cell r="F92" t="str">
            <v>For</v>
          </cell>
          <cell r="G92">
            <v>1527</v>
          </cell>
          <cell r="H92" t="str">
            <v>PECCIN S.A.</v>
          </cell>
          <cell r="I92">
            <v>234773</v>
          </cell>
          <cell r="J92">
            <v>1</v>
          </cell>
          <cell r="K92">
            <v>1</v>
          </cell>
          <cell r="L92">
            <v>341</v>
          </cell>
          <cell r="M92">
            <v>1240.3399999999999</v>
          </cell>
          <cell r="N92">
            <v>0</v>
          </cell>
          <cell r="O92">
            <v>0</v>
          </cell>
          <cell r="P92">
            <v>4</v>
          </cell>
          <cell r="Q92">
            <v>70416</v>
          </cell>
        </row>
        <row r="93">
          <cell r="A93">
            <v>92</v>
          </cell>
          <cell r="B93" t="str">
            <v>Pg</v>
          </cell>
          <cell r="C93">
            <v>6</v>
          </cell>
          <cell r="D93">
            <v>40416</v>
          </cell>
          <cell r="E93">
            <v>70416</v>
          </cell>
          <cell r="F93" t="str">
            <v>For</v>
          </cell>
          <cell r="G93">
            <v>1916</v>
          </cell>
          <cell r="H93" t="str">
            <v>ALISPEC IND E COM DE PROD ALIM LTDA</v>
          </cell>
          <cell r="I93">
            <v>69192</v>
          </cell>
          <cell r="J93">
            <v>1</v>
          </cell>
          <cell r="K93">
            <v>1</v>
          </cell>
          <cell r="L93">
            <v>341</v>
          </cell>
          <cell r="M93">
            <v>13911.6</v>
          </cell>
          <cell r="N93">
            <v>0</v>
          </cell>
          <cell r="O93">
            <v>0</v>
          </cell>
          <cell r="P93">
            <v>4</v>
          </cell>
          <cell r="Q93">
            <v>70416</v>
          </cell>
        </row>
        <row r="94">
          <cell r="A94">
            <v>93</v>
          </cell>
          <cell r="B94" t="str">
            <v>Pg</v>
          </cell>
          <cell r="C94">
            <v>1</v>
          </cell>
          <cell r="D94">
            <v>50416</v>
          </cell>
          <cell r="E94">
            <v>70416</v>
          </cell>
          <cell r="F94" t="str">
            <v>For</v>
          </cell>
          <cell r="G94">
            <v>1354</v>
          </cell>
          <cell r="H94" t="str">
            <v>BAX INDUSTRIA E COMERCIO DE ARTIGOS PARA FESTAS LTDA</v>
          </cell>
          <cell r="I94">
            <v>9174</v>
          </cell>
          <cell r="J94">
            <v>1</v>
          </cell>
          <cell r="K94">
            <v>1</v>
          </cell>
          <cell r="L94">
            <v>237</v>
          </cell>
          <cell r="M94">
            <v>2760.46</v>
          </cell>
          <cell r="N94">
            <v>279.74</v>
          </cell>
          <cell r="O94">
            <v>0</v>
          </cell>
          <cell r="P94">
            <v>14</v>
          </cell>
          <cell r="Q94">
            <v>80416</v>
          </cell>
        </row>
        <row r="95">
          <cell r="A95">
            <v>94</v>
          </cell>
          <cell r="B95" t="str">
            <v>Pg</v>
          </cell>
          <cell r="C95">
            <v>3</v>
          </cell>
          <cell r="D95">
            <v>50416</v>
          </cell>
          <cell r="E95">
            <v>70416</v>
          </cell>
          <cell r="F95" t="str">
            <v>For</v>
          </cell>
          <cell r="G95">
            <v>2334</v>
          </cell>
          <cell r="H95" t="str">
            <v>EUNICE AFONSO PACHECO</v>
          </cell>
          <cell r="I95">
            <v>99</v>
          </cell>
          <cell r="J95">
            <v>1</v>
          </cell>
          <cell r="K95">
            <v>1</v>
          </cell>
          <cell r="L95">
            <v>341</v>
          </cell>
          <cell r="M95">
            <v>1465</v>
          </cell>
          <cell r="N95">
            <v>0</v>
          </cell>
          <cell r="O95">
            <v>0</v>
          </cell>
          <cell r="P95">
            <v>14</v>
          </cell>
          <cell r="Q95">
            <v>70416</v>
          </cell>
        </row>
        <row r="96">
          <cell r="A96">
            <v>95</v>
          </cell>
          <cell r="B96" t="str">
            <v>Pg</v>
          </cell>
          <cell r="C96">
            <v>8</v>
          </cell>
          <cell r="D96">
            <v>60416</v>
          </cell>
          <cell r="E96">
            <v>70416</v>
          </cell>
          <cell r="F96" t="str">
            <v>For</v>
          </cell>
          <cell r="G96">
            <v>561</v>
          </cell>
          <cell r="H96" t="str">
            <v>ROBERTO CARLOS OLIVEIRA GOMES ME</v>
          </cell>
          <cell r="I96">
            <v>641</v>
          </cell>
          <cell r="J96">
            <v>1</v>
          </cell>
          <cell r="K96">
            <v>1</v>
          </cell>
          <cell r="L96">
            <v>237</v>
          </cell>
          <cell r="M96">
            <v>1716</v>
          </cell>
          <cell r="N96">
            <v>0</v>
          </cell>
          <cell r="O96">
            <v>0</v>
          </cell>
          <cell r="P96">
            <v>14</v>
          </cell>
          <cell r="Q96">
            <v>70416</v>
          </cell>
        </row>
        <row r="97">
          <cell r="A97">
            <v>96</v>
          </cell>
          <cell r="B97" t="str">
            <v>Pg</v>
          </cell>
          <cell r="C97">
            <v>8</v>
          </cell>
          <cell r="D97">
            <v>60416</v>
          </cell>
          <cell r="E97">
            <v>70416</v>
          </cell>
          <cell r="F97" t="str">
            <v>For</v>
          </cell>
          <cell r="G97">
            <v>1354</v>
          </cell>
          <cell r="H97" t="str">
            <v>BAX INDUSTRIA E COMERCIO DE ARTIGOS PARA FESTAS LTDA</v>
          </cell>
          <cell r="I97">
            <v>9173</v>
          </cell>
          <cell r="J97">
            <v>1</v>
          </cell>
          <cell r="K97">
            <v>1</v>
          </cell>
          <cell r="L97">
            <v>237</v>
          </cell>
          <cell r="M97">
            <v>1048.5999999999999</v>
          </cell>
          <cell r="N97">
            <v>104.86</v>
          </cell>
          <cell r="O97">
            <v>0</v>
          </cell>
          <cell r="P97">
            <v>14</v>
          </cell>
          <cell r="Q97">
            <v>80416</v>
          </cell>
        </row>
        <row r="98">
          <cell r="A98">
            <v>97</v>
          </cell>
          <cell r="B98" t="str">
            <v>Pg</v>
          </cell>
          <cell r="C98">
            <v>1</v>
          </cell>
          <cell r="D98">
            <v>60416</v>
          </cell>
          <cell r="E98">
            <v>70416</v>
          </cell>
          <cell r="F98" t="str">
            <v>For</v>
          </cell>
          <cell r="G98">
            <v>561</v>
          </cell>
          <cell r="H98" t="str">
            <v>ROBERTO CARLOS OLIVEIRA GOMES ME</v>
          </cell>
          <cell r="I98">
            <v>640</v>
          </cell>
          <cell r="J98">
            <v>1</v>
          </cell>
          <cell r="K98">
            <v>1</v>
          </cell>
          <cell r="L98">
            <v>237</v>
          </cell>
          <cell r="M98">
            <v>1170</v>
          </cell>
          <cell r="N98">
            <v>0</v>
          </cell>
          <cell r="O98">
            <v>0</v>
          </cell>
          <cell r="P98">
            <v>14</v>
          </cell>
          <cell r="Q98">
            <v>70416</v>
          </cell>
        </row>
        <row r="99">
          <cell r="A99">
            <v>98</v>
          </cell>
          <cell r="B99" t="str">
            <v>Pg</v>
          </cell>
          <cell r="C99">
            <v>5</v>
          </cell>
          <cell r="D99">
            <v>60416</v>
          </cell>
          <cell r="E99">
            <v>70416</v>
          </cell>
          <cell r="F99" t="str">
            <v>For</v>
          </cell>
          <cell r="G99">
            <v>561</v>
          </cell>
          <cell r="H99" t="str">
            <v>ROBERTO CARLOS OLIVEIRA GOMES ME</v>
          </cell>
          <cell r="I99">
            <v>644</v>
          </cell>
          <cell r="J99">
            <v>1</v>
          </cell>
          <cell r="K99">
            <v>1</v>
          </cell>
          <cell r="L99">
            <v>237</v>
          </cell>
          <cell r="M99">
            <v>1062</v>
          </cell>
          <cell r="N99">
            <v>0</v>
          </cell>
          <cell r="O99">
            <v>0</v>
          </cell>
          <cell r="P99">
            <v>14</v>
          </cell>
          <cell r="Q99">
            <v>70416</v>
          </cell>
        </row>
        <row r="100">
          <cell r="A100">
            <v>99</v>
          </cell>
          <cell r="B100" t="str">
            <v>Pg</v>
          </cell>
          <cell r="C100">
            <v>6</v>
          </cell>
          <cell r="D100">
            <v>211215</v>
          </cell>
          <cell r="E100">
            <v>80416</v>
          </cell>
          <cell r="F100" t="str">
            <v>For</v>
          </cell>
          <cell r="G100">
            <v>2819</v>
          </cell>
          <cell r="H100" t="str">
            <v>FORT SOLUTIONS COM IMP EXP LTDA</v>
          </cell>
          <cell r="I100">
            <v>11200</v>
          </cell>
          <cell r="J100">
            <v>4</v>
          </cell>
          <cell r="K100">
            <v>4</v>
          </cell>
          <cell r="L100">
            <v>341</v>
          </cell>
          <cell r="M100">
            <v>13275.68</v>
          </cell>
          <cell r="N100">
            <v>0</v>
          </cell>
          <cell r="O100">
            <v>0</v>
          </cell>
          <cell r="P100">
            <v>4</v>
          </cell>
          <cell r="Q100">
            <v>80416</v>
          </cell>
        </row>
        <row r="101">
          <cell r="A101">
            <v>100</v>
          </cell>
          <cell r="B101" t="str">
            <v>Pg</v>
          </cell>
          <cell r="C101">
            <v>6</v>
          </cell>
          <cell r="D101">
            <v>120216</v>
          </cell>
          <cell r="E101">
            <v>80416</v>
          </cell>
          <cell r="F101" t="str">
            <v>For</v>
          </cell>
          <cell r="G101">
            <v>2759</v>
          </cell>
          <cell r="H101" t="str">
            <v>METALURGICA METALTRU LTDA</v>
          </cell>
          <cell r="I101">
            <v>44185</v>
          </cell>
          <cell r="J101">
            <v>1</v>
          </cell>
          <cell r="K101">
            <v>1</v>
          </cell>
          <cell r="L101">
            <v>341</v>
          </cell>
          <cell r="M101">
            <v>24707.98</v>
          </cell>
          <cell r="N101">
            <v>-86.94</v>
          </cell>
          <cell r="O101">
            <v>0</v>
          </cell>
          <cell r="P101">
            <v>4</v>
          </cell>
          <cell r="Q101">
            <v>80416</v>
          </cell>
        </row>
        <row r="102">
          <cell r="A102">
            <v>101</v>
          </cell>
          <cell r="B102" t="str">
            <v>Pg</v>
          </cell>
          <cell r="C102">
            <v>6</v>
          </cell>
          <cell r="D102">
            <v>240216</v>
          </cell>
          <cell r="E102">
            <v>80416</v>
          </cell>
          <cell r="F102" t="str">
            <v>For</v>
          </cell>
          <cell r="G102">
            <v>788</v>
          </cell>
          <cell r="H102" t="str">
            <v>MAXXIMO IND E COM DE UTIL DOMESTICAS LTD</v>
          </cell>
          <cell r="I102">
            <v>4707</v>
          </cell>
          <cell r="J102">
            <v>1</v>
          </cell>
          <cell r="K102">
            <v>1</v>
          </cell>
          <cell r="L102">
            <v>341</v>
          </cell>
          <cell r="M102">
            <v>17721.349999999999</v>
          </cell>
          <cell r="N102">
            <v>0</v>
          </cell>
          <cell r="O102">
            <v>0</v>
          </cell>
          <cell r="P102">
            <v>4</v>
          </cell>
          <cell r="Q102">
            <v>80416</v>
          </cell>
        </row>
        <row r="103">
          <cell r="A103">
            <v>102</v>
          </cell>
          <cell r="B103" t="str">
            <v>Pg</v>
          </cell>
          <cell r="C103">
            <v>6</v>
          </cell>
          <cell r="D103">
            <v>250216</v>
          </cell>
          <cell r="E103">
            <v>80416</v>
          </cell>
          <cell r="F103" t="str">
            <v>For</v>
          </cell>
          <cell r="G103">
            <v>788</v>
          </cell>
          <cell r="H103" t="str">
            <v>MAXXIMO IND E COM DE UTIL DOMESTICAS LTD</v>
          </cell>
          <cell r="I103">
            <v>4716</v>
          </cell>
          <cell r="J103">
            <v>1</v>
          </cell>
          <cell r="K103">
            <v>1</v>
          </cell>
          <cell r="L103">
            <v>341</v>
          </cell>
          <cell r="M103">
            <v>1896.48</v>
          </cell>
          <cell r="N103">
            <v>0</v>
          </cell>
          <cell r="O103">
            <v>0</v>
          </cell>
          <cell r="P103">
            <v>4</v>
          </cell>
          <cell r="Q103">
            <v>80416</v>
          </cell>
        </row>
        <row r="104">
          <cell r="A104">
            <v>103</v>
          </cell>
          <cell r="B104" t="str">
            <v>Pg</v>
          </cell>
          <cell r="C104">
            <v>6</v>
          </cell>
          <cell r="D104">
            <v>100316</v>
          </cell>
          <cell r="E104">
            <v>80416</v>
          </cell>
          <cell r="F104" t="str">
            <v>For</v>
          </cell>
          <cell r="G104">
            <v>2802</v>
          </cell>
          <cell r="H104" t="str">
            <v>LUIZ EDUARDO QUADRINI CASTILHO</v>
          </cell>
          <cell r="I104">
            <v>10911</v>
          </cell>
          <cell r="J104">
            <v>1</v>
          </cell>
          <cell r="K104">
            <v>1</v>
          </cell>
          <cell r="L104">
            <v>341</v>
          </cell>
          <cell r="M104">
            <v>13113.15</v>
          </cell>
          <cell r="N104">
            <v>0</v>
          </cell>
          <cell r="O104">
            <v>0</v>
          </cell>
          <cell r="P104">
            <v>4</v>
          </cell>
          <cell r="Q104">
            <v>80416</v>
          </cell>
        </row>
        <row r="105">
          <cell r="A105">
            <v>104</v>
          </cell>
          <cell r="B105" t="str">
            <v>Pg</v>
          </cell>
          <cell r="C105">
            <v>6</v>
          </cell>
          <cell r="D105">
            <v>150316</v>
          </cell>
          <cell r="E105">
            <v>80416</v>
          </cell>
          <cell r="F105" t="str">
            <v>For</v>
          </cell>
          <cell r="G105">
            <v>2309</v>
          </cell>
          <cell r="H105" t="str">
            <v>EUROQUADROS IND IMPORT E EXPORTACAO LTDA</v>
          </cell>
          <cell r="I105">
            <v>18361</v>
          </cell>
          <cell r="J105">
            <v>1</v>
          </cell>
          <cell r="K105">
            <v>3</v>
          </cell>
          <cell r="L105">
            <v>341</v>
          </cell>
          <cell r="M105">
            <v>34452.21</v>
          </cell>
          <cell r="N105">
            <v>0</v>
          </cell>
          <cell r="O105">
            <v>0</v>
          </cell>
          <cell r="P105">
            <v>4</v>
          </cell>
          <cell r="Q105">
            <v>80416</v>
          </cell>
        </row>
        <row r="106">
          <cell r="A106">
            <v>105</v>
          </cell>
          <cell r="B106" t="str">
            <v>Pg</v>
          </cell>
          <cell r="C106">
            <v>3</v>
          </cell>
          <cell r="D106">
            <v>180316</v>
          </cell>
          <cell r="E106">
            <v>80416</v>
          </cell>
          <cell r="F106" t="str">
            <v>For</v>
          </cell>
          <cell r="G106">
            <v>2917</v>
          </cell>
          <cell r="H106" t="str">
            <v>GESTAO DISTRIBUICAO E LOGISTICA LTDA</v>
          </cell>
          <cell r="I106">
            <v>20189</v>
          </cell>
          <cell r="J106">
            <v>1</v>
          </cell>
          <cell r="K106">
            <v>1</v>
          </cell>
          <cell r="L106">
            <v>341</v>
          </cell>
          <cell r="M106">
            <v>447.24</v>
          </cell>
          <cell r="N106">
            <v>0</v>
          </cell>
          <cell r="O106">
            <v>0</v>
          </cell>
          <cell r="P106">
            <v>4</v>
          </cell>
          <cell r="Q106">
            <v>80416</v>
          </cell>
        </row>
        <row r="107">
          <cell r="A107">
            <v>106</v>
          </cell>
          <cell r="B107" t="str">
            <v>Pg</v>
          </cell>
          <cell r="C107">
            <v>1</v>
          </cell>
          <cell r="D107">
            <v>210316</v>
          </cell>
          <cell r="E107">
            <v>80416</v>
          </cell>
          <cell r="F107" t="str">
            <v>For</v>
          </cell>
          <cell r="G107">
            <v>2917</v>
          </cell>
          <cell r="H107" t="str">
            <v>GESTAO DISTRIBUICAO E LOGISTICA LTDA</v>
          </cell>
          <cell r="I107">
            <v>20357</v>
          </cell>
          <cell r="J107">
            <v>1</v>
          </cell>
          <cell r="K107">
            <v>1</v>
          </cell>
          <cell r="L107">
            <v>341</v>
          </cell>
          <cell r="M107">
            <v>447.24</v>
          </cell>
          <cell r="N107">
            <v>0</v>
          </cell>
          <cell r="O107">
            <v>0</v>
          </cell>
          <cell r="P107">
            <v>4</v>
          </cell>
          <cell r="Q107">
            <v>80416</v>
          </cell>
        </row>
        <row r="108">
          <cell r="A108">
            <v>107</v>
          </cell>
          <cell r="B108" t="str">
            <v>Pg</v>
          </cell>
          <cell r="C108">
            <v>8</v>
          </cell>
          <cell r="D108">
            <v>220316</v>
          </cell>
          <cell r="E108">
            <v>80416</v>
          </cell>
          <cell r="F108" t="str">
            <v>For</v>
          </cell>
          <cell r="G108">
            <v>2917</v>
          </cell>
          <cell r="H108" t="str">
            <v>GESTAO DISTRIBUICAO E LOGISTICA LTDA</v>
          </cell>
          <cell r="I108">
            <v>20356</v>
          </cell>
          <cell r="J108">
            <v>1</v>
          </cell>
          <cell r="K108">
            <v>1</v>
          </cell>
          <cell r="L108">
            <v>341</v>
          </cell>
          <cell r="M108">
            <v>447.24</v>
          </cell>
          <cell r="N108">
            <v>0</v>
          </cell>
          <cell r="O108">
            <v>0</v>
          </cell>
          <cell r="P108">
            <v>4</v>
          </cell>
          <cell r="Q108">
            <v>80416</v>
          </cell>
        </row>
        <row r="109">
          <cell r="A109">
            <v>108</v>
          </cell>
          <cell r="B109" t="str">
            <v>Pg</v>
          </cell>
          <cell r="C109">
            <v>6</v>
          </cell>
          <cell r="D109">
            <v>280316</v>
          </cell>
          <cell r="E109">
            <v>80416</v>
          </cell>
          <cell r="F109" t="str">
            <v>For</v>
          </cell>
          <cell r="G109">
            <v>1747</v>
          </cell>
          <cell r="H109" t="str">
            <v>TOYPLAST PLASTICOS LTDA</v>
          </cell>
          <cell r="I109">
            <v>48714</v>
          </cell>
          <cell r="J109">
            <v>1</v>
          </cell>
          <cell r="K109">
            <v>1</v>
          </cell>
          <cell r="L109">
            <v>341</v>
          </cell>
          <cell r="M109">
            <v>40052.199999999997</v>
          </cell>
          <cell r="N109">
            <v>0</v>
          </cell>
          <cell r="O109">
            <v>0</v>
          </cell>
          <cell r="P109">
            <v>4</v>
          </cell>
          <cell r="Q109">
            <v>80416</v>
          </cell>
        </row>
        <row r="110">
          <cell r="A110">
            <v>109</v>
          </cell>
          <cell r="B110" t="str">
            <v>Pg</v>
          </cell>
          <cell r="C110">
            <v>6</v>
          </cell>
          <cell r="D110">
            <v>10416</v>
          </cell>
          <cell r="E110">
            <v>80416</v>
          </cell>
          <cell r="F110" t="str">
            <v>For</v>
          </cell>
          <cell r="G110">
            <v>292</v>
          </cell>
          <cell r="H110" t="str">
            <v>PARAMOUNT COMERCIO DE PLASTICOS - ME</v>
          </cell>
          <cell r="I110">
            <v>66607</v>
          </cell>
          <cell r="J110">
            <v>1</v>
          </cell>
          <cell r="K110">
            <v>1</v>
          </cell>
          <cell r="L110">
            <v>341</v>
          </cell>
          <cell r="M110">
            <v>6747.53</v>
          </cell>
          <cell r="N110">
            <v>0</v>
          </cell>
          <cell r="O110">
            <v>0</v>
          </cell>
          <cell r="P110">
            <v>4</v>
          </cell>
          <cell r="Q110">
            <v>80416</v>
          </cell>
        </row>
        <row r="111">
          <cell r="A111">
            <v>110</v>
          </cell>
          <cell r="B111" t="str">
            <v>Pg</v>
          </cell>
          <cell r="C111">
            <v>6</v>
          </cell>
          <cell r="D111">
            <v>50416</v>
          </cell>
          <cell r="E111">
            <v>80416</v>
          </cell>
          <cell r="F111" t="str">
            <v>For</v>
          </cell>
          <cell r="G111">
            <v>292</v>
          </cell>
          <cell r="H111" t="str">
            <v>PARAMOUNT COMERCIO DE PLASTICOS - ME</v>
          </cell>
          <cell r="I111">
            <v>66608</v>
          </cell>
          <cell r="J111">
            <v>1</v>
          </cell>
          <cell r="K111">
            <v>1</v>
          </cell>
          <cell r="L111">
            <v>341</v>
          </cell>
          <cell r="M111">
            <v>58139.19</v>
          </cell>
          <cell r="N111">
            <v>0</v>
          </cell>
          <cell r="O111">
            <v>0</v>
          </cell>
          <cell r="P111">
            <v>4</v>
          </cell>
          <cell r="Q111">
            <v>80416</v>
          </cell>
        </row>
        <row r="112">
          <cell r="A112">
            <v>111</v>
          </cell>
          <cell r="B112" t="str">
            <v>Pg</v>
          </cell>
          <cell r="C112">
            <v>6</v>
          </cell>
          <cell r="D112">
            <v>50416</v>
          </cell>
          <cell r="E112">
            <v>80416</v>
          </cell>
          <cell r="F112" t="str">
            <v>For</v>
          </cell>
          <cell r="G112">
            <v>2096</v>
          </cell>
          <cell r="H112" t="str">
            <v>M. DIAS BRANCO S.A. INDUSTRIA E COM DE ALIMENTOS</v>
          </cell>
          <cell r="I112">
            <v>193077</v>
          </cell>
          <cell r="J112">
            <v>1</v>
          </cell>
          <cell r="K112">
            <v>1</v>
          </cell>
          <cell r="L112">
            <v>341</v>
          </cell>
          <cell r="M112">
            <v>15805.35</v>
          </cell>
          <cell r="N112">
            <v>0</v>
          </cell>
          <cell r="O112">
            <v>0</v>
          </cell>
          <cell r="P112">
            <v>4</v>
          </cell>
          <cell r="Q112">
            <v>80416</v>
          </cell>
        </row>
        <row r="113">
          <cell r="A113">
            <v>112</v>
          </cell>
          <cell r="B113" t="str">
            <v>Pg</v>
          </cell>
          <cell r="C113">
            <v>6</v>
          </cell>
          <cell r="D113">
            <v>50416</v>
          </cell>
          <cell r="E113">
            <v>80416</v>
          </cell>
          <cell r="F113" t="str">
            <v>For</v>
          </cell>
          <cell r="G113">
            <v>2096</v>
          </cell>
          <cell r="H113" t="str">
            <v>M. DIAS BRANCO S.A. INDUSTRIA E COM DE ALIMENTOS</v>
          </cell>
          <cell r="I113">
            <v>193056</v>
          </cell>
          <cell r="J113">
            <v>1</v>
          </cell>
          <cell r="K113">
            <v>1</v>
          </cell>
          <cell r="L113">
            <v>999</v>
          </cell>
          <cell r="M113">
            <v>5370.31</v>
          </cell>
          <cell r="N113">
            <v>0</v>
          </cell>
          <cell r="O113">
            <v>0</v>
          </cell>
          <cell r="P113">
            <v>4</v>
          </cell>
          <cell r="Q113">
            <v>70416</v>
          </cell>
        </row>
        <row r="114">
          <cell r="A114">
            <v>113</v>
          </cell>
          <cell r="B114" t="str">
            <v>Pg</v>
          </cell>
          <cell r="C114">
            <v>3</v>
          </cell>
          <cell r="D114">
            <v>50416</v>
          </cell>
          <cell r="E114">
            <v>80416</v>
          </cell>
          <cell r="F114" t="str">
            <v>For</v>
          </cell>
          <cell r="G114">
            <v>1858</v>
          </cell>
          <cell r="H114" t="str">
            <v>MOLDUSACI FRABRICA DE PORTA RETRATOS LTDA</v>
          </cell>
          <cell r="I114">
            <v>1559</v>
          </cell>
          <cell r="J114">
            <v>1</v>
          </cell>
          <cell r="K114">
            <v>1</v>
          </cell>
          <cell r="L114">
            <v>341</v>
          </cell>
          <cell r="M114">
            <v>5302.5</v>
          </cell>
          <cell r="N114">
            <v>0</v>
          </cell>
          <cell r="O114">
            <v>0</v>
          </cell>
          <cell r="P114">
            <v>4</v>
          </cell>
          <cell r="Q114">
            <v>80416</v>
          </cell>
        </row>
        <row r="115">
          <cell r="A115">
            <v>114</v>
          </cell>
          <cell r="B115" t="str">
            <v>Pg</v>
          </cell>
          <cell r="C115">
            <v>9</v>
          </cell>
          <cell r="D115">
            <v>50416</v>
          </cell>
          <cell r="E115">
            <v>80416</v>
          </cell>
          <cell r="F115" t="str">
            <v>For</v>
          </cell>
          <cell r="G115">
            <v>1858</v>
          </cell>
          <cell r="H115" t="str">
            <v>MOLDUSACI FRABRICA DE PORTA RETRATOS LTDA</v>
          </cell>
          <cell r="I115">
            <v>1558</v>
          </cell>
          <cell r="J115">
            <v>1</v>
          </cell>
          <cell r="K115">
            <v>1</v>
          </cell>
          <cell r="L115">
            <v>341</v>
          </cell>
          <cell r="M115">
            <v>2907.5</v>
          </cell>
          <cell r="N115">
            <v>0</v>
          </cell>
          <cell r="O115">
            <v>0</v>
          </cell>
          <cell r="P115">
            <v>4</v>
          </cell>
          <cell r="Q115">
            <v>80416</v>
          </cell>
        </row>
        <row r="116">
          <cell r="A116">
            <v>115</v>
          </cell>
          <cell r="B116" t="str">
            <v>Pg</v>
          </cell>
          <cell r="C116">
            <v>6</v>
          </cell>
          <cell r="D116">
            <v>50416</v>
          </cell>
          <cell r="E116">
            <v>80416</v>
          </cell>
          <cell r="F116" t="str">
            <v>For</v>
          </cell>
          <cell r="G116">
            <v>456</v>
          </cell>
          <cell r="H116" t="str">
            <v>ERCAPLAST IND E COM PLASTICOS LTDA-EPP</v>
          </cell>
          <cell r="I116">
            <v>49501</v>
          </cell>
          <cell r="J116">
            <v>1</v>
          </cell>
          <cell r="K116">
            <v>1</v>
          </cell>
          <cell r="L116">
            <v>341</v>
          </cell>
          <cell r="M116">
            <v>52563.95</v>
          </cell>
          <cell r="N116">
            <v>-383.89</v>
          </cell>
          <cell r="O116">
            <v>0</v>
          </cell>
          <cell r="P116">
            <v>4</v>
          </cell>
          <cell r="Q116">
            <v>80416</v>
          </cell>
        </row>
        <row r="117">
          <cell r="A117">
            <v>116</v>
          </cell>
          <cell r="B117" t="str">
            <v>Pg</v>
          </cell>
          <cell r="C117">
            <v>9</v>
          </cell>
          <cell r="D117">
            <v>50416</v>
          </cell>
          <cell r="E117">
            <v>80416</v>
          </cell>
          <cell r="F117" t="str">
            <v>For</v>
          </cell>
          <cell r="G117">
            <v>1278</v>
          </cell>
          <cell r="H117" t="str">
            <v>LUA NOVA IND.E COM.DE PROD.ALIMENT.LTDA.</v>
          </cell>
          <cell r="I117">
            <v>2318926</v>
          </cell>
          <cell r="J117">
            <v>1</v>
          </cell>
          <cell r="K117">
            <v>1</v>
          </cell>
          <cell r="L117">
            <v>341</v>
          </cell>
          <cell r="M117">
            <v>503.01</v>
          </cell>
          <cell r="N117">
            <v>0</v>
          </cell>
          <cell r="O117">
            <v>0</v>
          </cell>
          <cell r="P117">
            <v>4</v>
          </cell>
          <cell r="Q117">
            <v>80416</v>
          </cell>
        </row>
        <row r="118">
          <cell r="A118">
            <v>117</v>
          </cell>
          <cell r="B118" t="str">
            <v>Pg</v>
          </cell>
          <cell r="C118">
            <v>9</v>
          </cell>
          <cell r="D118">
            <v>50416</v>
          </cell>
          <cell r="E118">
            <v>80416</v>
          </cell>
          <cell r="F118" t="str">
            <v>For</v>
          </cell>
          <cell r="G118">
            <v>1278</v>
          </cell>
          <cell r="H118" t="str">
            <v>LUA NOVA IND.E COM.DE PROD.ALIMENT.LTDA.</v>
          </cell>
          <cell r="I118">
            <v>2318927</v>
          </cell>
          <cell r="J118">
            <v>1</v>
          </cell>
          <cell r="K118">
            <v>1</v>
          </cell>
          <cell r="L118">
            <v>341</v>
          </cell>
          <cell r="M118">
            <v>199.12</v>
          </cell>
          <cell r="N118">
            <v>0</v>
          </cell>
          <cell r="O118">
            <v>0</v>
          </cell>
          <cell r="P118">
            <v>4</v>
          </cell>
          <cell r="Q118">
            <v>80416</v>
          </cell>
        </row>
        <row r="119">
          <cell r="A119">
            <v>118</v>
          </cell>
          <cell r="B119" t="str">
            <v>Pg</v>
          </cell>
          <cell r="C119">
            <v>6</v>
          </cell>
          <cell r="D119">
            <v>270116</v>
          </cell>
          <cell r="E119">
            <v>90416</v>
          </cell>
          <cell r="F119" t="str">
            <v>For</v>
          </cell>
          <cell r="G119">
            <v>2358</v>
          </cell>
          <cell r="H119" t="str">
            <v>GALA - IBB IND. BRAS. DE BRINQ. E EMB. LTDA</v>
          </cell>
          <cell r="I119">
            <v>44640</v>
          </cell>
          <cell r="J119">
            <v>1</v>
          </cell>
          <cell r="K119">
            <v>3</v>
          </cell>
          <cell r="L119">
            <v>341</v>
          </cell>
          <cell r="M119">
            <v>11781.01</v>
          </cell>
          <cell r="N119">
            <v>0</v>
          </cell>
          <cell r="O119">
            <v>0</v>
          </cell>
          <cell r="P119">
            <v>4</v>
          </cell>
          <cell r="Q119">
            <v>110416</v>
          </cell>
        </row>
        <row r="120">
          <cell r="A120">
            <v>119</v>
          </cell>
          <cell r="B120" t="str">
            <v>Pg</v>
          </cell>
          <cell r="C120">
            <v>6</v>
          </cell>
          <cell r="D120">
            <v>270116</v>
          </cell>
          <cell r="E120">
            <v>90416</v>
          </cell>
          <cell r="F120" t="str">
            <v>For</v>
          </cell>
          <cell r="G120">
            <v>1310</v>
          </cell>
          <cell r="H120" t="str">
            <v>EUROQUADROS IND IMP EXP LTDA</v>
          </cell>
          <cell r="I120">
            <v>52733</v>
          </cell>
          <cell r="J120">
            <v>1</v>
          </cell>
          <cell r="K120">
            <v>1</v>
          </cell>
          <cell r="L120">
            <v>341</v>
          </cell>
          <cell r="M120">
            <v>133378.79</v>
          </cell>
          <cell r="N120">
            <v>0</v>
          </cell>
          <cell r="O120">
            <v>0</v>
          </cell>
          <cell r="P120">
            <v>4</v>
          </cell>
          <cell r="Q120">
            <v>110416</v>
          </cell>
        </row>
        <row r="121">
          <cell r="A121">
            <v>120</v>
          </cell>
          <cell r="B121" t="str">
            <v>Pg</v>
          </cell>
          <cell r="C121">
            <v>6</v>
          </cell>
          <cell r="D121">
            <v>50216</v>
          </cell>
          <cell r="E121">
            <v>90416</v>
          </cell>
          <cell r="F121" t="str">
            <v>For</v>
          </cell>
          <cell r="G121">
            <v>1012</v>
          </cell>
          <cell r="H121" t="str">
            <v>SUTT COMERCIO E IMPORTACAO LTDA.</v>
          </cell>
          <cell r="I121">
            <v>27982</v>
          </cell>
          <cell r="J121">
            <v>1</v>
          </cell>
          <cell r="K121">
            <v>1</v>
          </cell>
          <cell r="L121">
            <v>341</v>
          </cell>
          <cell r="M121">
            <v>26043.759999999998</v>
          </cell>
          <cell r="N121">
            <v>0</v>
          </cell>
          <cell r="O121">
            <v>0</v>
          </cell>
          <cell r="P121">
            <v>4</v>
          </cell>
          <cell r="Q121">
            <v>110416</v>
          </cell>
        </row>
        <row r="122">
          <cell r="A122">
            <v>121</v>
          </cell>
          <cell r="B122" t="str">
            <v>Pg</v>
          </cell>
          <cell r="C122">
            <v>6</v>
          </cell>
          <cell r="D122">
            <v>90316</v>
          </cell>
          <cell r="E122">
            <v>90416</v>
          </cell>
          <cell r="F122" t="str">
            <v>For</v>
          </cell>
          <cell r="G122">
            <v>1038</v>
          </cell>
          <cell r="H122" t="str">
            <v>DANEVA MAQUINAS E CONDUTORES ELETRICOS LTDA</v>
          </cell>
          <cell r="I122">
            <v>117561</v>
          </cell>
          <cell r="J122">
            <v>1</v>
          </cell>
          <cell r="K122">
            <v>1</v>
          </cell>
          <cell r="L122">
            <v>341</v>
          </cell>
          <cell r="M122">
            <v>37942.449999999997</v>
          </cell>
          <cell r="N122">
            <v>0</v>
          </cell>
          <cell r="O122">
            <v>0</v>
          </cell>
          <cell r="P122">
            <v>4</v>
          </cell>
          <cell r="Q122">
            <v>110416</v>
          </cell>
        </row>
        <row r="123">
          <cell r="A123">
            <v>122</v>
          </cell>
          <cell r="B123" t="str">
            <v>Pg</v>
          </cell>
          <cell r="C123">
            <v>6</v>
          </cell>
          <cell r="D123">
            <v>110316</v>
          </cell>
          <cell r="E123">
            <v>90416</v>
          </cell>
          <cell r="F123" t="str">
            <v>For</v>
          </cell>
          <cell r="G123">
            <v>2802</v>
          </cell>
          <cell r="H123" t="str">
            <v>LUIZ EDUARDO QUADRINI CASTILHO</v>
          </cell>
          <cell r="I123">
            <v>10926</v>
          </cell>
          <cell r="J123">
            <v>1</v>
          </cell>
          <cell r="K123">
            <v>1</v>
          </cell>
          <cell r="L123">
            <v>341</v>
          </cell>
          <cell r="M123">
            <v>4092.15</v>
          </cell>
          <cell r="N123">
            <v>0</v>
          </cell>
          <cell r="O123">
            <v>0</v>
          </cell>
          <cell r="P123">
            <v>4</v>
          </cell>
          <cell r="Q123">
            <v>110416</v>
          </cell>
        </row>
        <row r="124">
          <cell r="A124">
            <v>123</v>
          </cell>
          <cell r="B124" t="str">
            <v>Pg</v>
          </cell>
          <cell r="C124">
            <v>6</v>
          </cell>
          <cell r="D124">
            <v>210316</v>
          </cell>
          <cell r="E124">
            <v>90416</v>
          </cell>
          <cell r="F124" t="str">
            <v>For</v>
          </cell>
          <cell r="G124">
            <v>2819</v>
          </cell>
          <cell r="H124" t="str">
            <v>FORT SOLUTIONS COM IMP EXP LTDA</v>
          </cell>
          <cell r="I124">
            <v>12148</v>
          </cell>
          <cell r="J124">
            <v>1</v>
          </cell>
          <cell r="K124">
            <v>4</v>
          </cell>
          <cell r="L124">
            <v>999</v>
          </cell>
          <cell r="M124">
            <v>10816.51</v>
          </cell>
          <cell r="N124">
            <v>0</v>
          </cell>
          <cell r="O124">
            <v>0</v>
          </cell>
          <cell r="P124">
            <v>4</v>
          </cell>
          <cell r="Q124">
            <v>80416</v>
          </cell>
        </row>
        <row r="125">
          <cell r="A125">
            <v>124</v>
          </cell>
          <cell r="B125" t="str">
            <v>Pg</v>
          </cell>
          <cell r="C125">
            <v>6</v>
          </cell>
          <cell r="D125">
            <v>280316</v>
          </cell>
          <cell r="E125">
            <v>90416</v>
          </cell>
          <cell r="F125" t="str">
            <v>For</v>
          </cell>
          <cell r="G125">
            <v>1392</v>
          </cell>
          <cell r="H125" t="str">
            <v>PLASUTIL IND COM DE PLASTICOS LTDA</v>
          </cell>
          <cell r="I125">
            <v>381302</v>
          </cell>
          <cell r="J125">
            <v>1</v>
          </cell>
          <cell r="K125">
            <v>1</v>
          </cell>
          <cell r="L125">
            <v>237</v>
          </cell>
          <cell r="M125">
            <v>15968.2</v>
          </cell>
          <cell r="N125">
            <v>10285.16</v>
          </cell>
          <cell r="O125">
            <v>0</v>
          </cell>
          <cell r="P125">
            <v>14</v>
          </cell>
          <cell r="Q125">
            <v>110416</v>
          </cell>
        </row>
        <row r="126">
          <cell r="A126">
            <v>125</v>
          </cell>
          <cell r="B126" t="str">
            <v>Pg</v>
          </cell>
          <cell r="C126">
            <v>6</v>
          </cell>
          <cell r="D126">
            <v>280316</v>
          </cell>
          <cell r="E126">
            <v>90416</v>
          </cell>
          <cell r="F126" t="str">
            <v>For</v>
          </cell>
          <cell r="G126">
            <v>1392</v>
          </cell>
          <cell r="H126" t="str">
            <v>PLASUTIL IND COM DE PLASTICOS LTDA</v>
          </cell>
          <cell r="I126">
            <v>381303</v>
          </cell>
          <cell r="J126">
            <v>1</v>
          </cell>
          <cell r="K126">
            <v>1</v>
          </cell>
          <cell r="L126">
            <v>341</v>
          </cell>
          <cell r="M126">
            <v>38375.83</v>
          </cell>
          <cell r="N126">
            <v>0</v>
          </cell>
          <cell r="O126">
            <v>0</v>
          </cell>
          <cell r="P126">
            <v>4</v>
          </cell>
          <cell r="Q126">
            <v>110416</v>
          </cell>
        </row>
        <row r="127">
          <cell r="A127">
            <v>126</v>
          </cell>
          <cell r="B127" t="str">
            <v>Pg</v>
          </cell>
          <cell r="C127">
            <v>6</v>
          </cell>
          <cell r="D127">
            <v>300316</v>
          </cell>
          <cell r="E127">
            <v>90416</v>
          </cell>
          <cell r="F127" t="str">
            <v>For</v>
          </cell>
          <cell r="G127">
            <v>130</v>
          </cell>
          <cell r="H127" t="str">
            <v>YANGZI BRASIL CORPORATION LTDA</v>
          </cell>
          <cell r="I127">
            <v>172588</v>
          </cell>
          <cell r="J127">
            <v>2</v>
          </cell>
          <cell r="K127">
            <v>2</v>
          </cell>
          <cell r="L127">
            <v>341</v>
          </cell>
          <cell r="M127">
            <v>1458.14</v>
          </cell>
          <cell r="N127">
            <v>0</v>
          </cell>
          <cell r="O127">
            <v>0</v>
          </cell>
          <cell r="P127">
            <v>4</v>
          </cell>
          <cell r="Q127">
            <v>110416</v>
          </cell>
        </row>
        <row r="128">
          <cell r="A128">
            <v>127</v>
          </cell>
          <cell r="B128" t="str">
            <v>Pg</v>
          </cell>
          <cell r="C128">
            <v>6</v>
          </cell>
          <cell r="D128">
            <v>300316</v>
          </cell>
          <cell r="E128">
            <v>90416</v>
          </cell>
          <cell r="F128" t="str">
            <v>For</v>
          </cell>
          <cell r="G128">
            <v>130</v>
          </cell>
          <cell r="H128" t="str">
            <v>YANGZI BRASIL CORPORATION LTDA</v>
          </cell>
          <cell r="I128">
            <v>172588</v>
          </cell>
          <cell r="J128">
            <v>1</v>
          </cell>
          <cell r="K128">
            <v>2</v>
          </cell>
          <cell r="L128">
            <v>341</v>
          </cell>
          <cell r="M128">
            <v>4048.13</v>
          </cell>
          <cell r="N128">
            <v>0</v>
          </cell>
          <cell r="O128">
            <v>0</v>
          </cell>
          <cell r="P128">
            <v>4</v>
          </cell>
          <cell r="Q128">
            <v>110416</v>
          </cell>
        </row>
        <row r="129">
          <cell r="A129">
            <v>128</v>
          </cell>
          <cell r="B129" t="str">
            <v>Pg</v>
          </cell>
          <cell r="C129">
            <v>6</v>
          </cell>
          <cell r="D129">
            <v>40416</v>
          </cell>
          <cell r="E129">
            <v>90416</v>
          </cell>
          <cell r="F129" t="str">
            <v>For</v>
          </cell>
          <cell r="G129">
            <v>2096</v>
          </cell>
          <cell r="H129" t="str">
            <v>M. DIAS BRANCO S.A. INDUSTRIA E COM DE ALIMENTOS</v>
          </cell>
          <cell r="I129">
            <v>189765</v>
          </cell>
          <cell r="J129">
            <v>1</v>
          </cell>
          <cell r="K129">
            <v>1</v>
          </cell>
          <cell r="L129">
            <v>341</v>
          </cell>
          <cell r="M129">
            <v>1366.92</v>
          </cell>
          <cell r="N129">
            <v>0</v>
          </cell>
          <cell r="O129">
            <v>0</v>
          </cell>
          <cell r="P129">
            <v>4</v>
          </cell>
          <cell r="Q129">
            <v>110416</v>
          </cell>
        </row>
        <row r="130">
          <cell r="A130">
            <v>129</v>
          </cell>
          <cell r="B130" t="str">
            <v>Pg</v>
          </cell>
          <cell r="C130">
            <v>6</v>
          </cell>
          <cell r="D130">
            <v>40416</v>
          </cell>
          <cell r="E130">
            <v>90416</v>
          </cell>
          <cell r="F130" t="str">
            <v>For</v>
          </cell>
          <cell r="G130">
            <v>2096</v>
          </cell>
          <cell r="H130" t="str">
            <v>M. DIAS BRANCO S.A. INDUSTRIA E COM DE ALIMENTOS</v>
          </cell>
          <cell r="I130">
            <v>190963</v>
          </cell>
          <cell r="J130">
            <v>1</v>
          </cell>
          <cell r="K130">
            <v>1</v>
          </cell>
          <cell r="L130">
            <v>341</v>
          </cell>
          <cell r="M130">
            <v>1859.74</v>
          </cell>
          <cell r="N130">
            <v>0</v>
          </cell>
          <cell r="O130">
            <v>0</v>
          </cell>
          <cell r="P130">
            <v>4</v>
          </cell>
          <cell r="Q130">
            <v>110416</v>
          </cell>
        </row>
        <row r="131">
          <cell r="A131">
            <v>130</v>
          </cell>
          <cell r="B131" t="str">
            <v>Pg</v>
          </cell>
          <cell r="C131">
            <v>6</v>
          </cell>
          <cell r="D131">
            <v>50216</v>
          </cell>
          <cell r="E131">
            <v>100416</v>
          </cell>
          <cell r="F131" t="str">
            <v>For</v>
          </cell>
          <cell r="G131">
            <v>2819</v>
          </cell>
          <cell r="H131" t="str">
            <v>FORT SOLUTIONS COM IMP EXP LTDA</v>
          </cell>
          <cell r="I131">
            <v>11760</v>
          </cell>
          <cell r="J131">
            <v>2</v>
          </cell>
          <cell r="K131">
            <v>4</v>
          </cell>
          <cell r="L131">
            <v>341</v>
          </cell>
          <cell r="M131">
            <v>11439.71</v>
          </cell>
          <cell r="N131">
            <v>0</v>
          </cell>
          <cell r="O131">
            <v>0</v>
          </cell>
          <cell r="P131">
            <v>4</v>
          </cell>
          <cell r="Q131">
            <v>110416</v>
          </cell>
        </row>
        <row r="132">
          <cell r="A132">
            <v>131</v>
          </cell>
          <cell r="B132" t="str">
            <v>Pg</v>
          </cell>
          <cell r="C132">
            <v>6</v>
          </cell>
          <cell r="D132">
            <v>50216</v>
          </cell>
          <cell r="E132">
            <v>100416</v>
          </cell>
          <cell r="F132" t="str">
            <v>For</v>
          </cell>
          <cell r="G132">
            <v>2819</v>
          </cell>
          <cell r="H132" t="str">
            <v>FORT SOLUTIONS COM IMP EXP LTDA</v>
          </cell>
          <cell r="I132">
            <v>11749</v>
          </cell>
          <cell r="J132">
            <v>2</v>
          </cell>
          <cell r="K132">
            <v>4</v>
          </cell>
          <cell r="L132">
            <v>341</v>
          </cell>
          <cell r="M132">
            <v>7953.24</v>
          </cell>
          <cell r="N132">
            <v>0</v>
          </cell>
          <cell r="O132">
            <v>0</v>
          </cell>
          <cell r="P132">
            <v>4</v>
          </cell>
          <cell r="Q132">
            <v>110416</v>
          </cell>
        </row>
        <row r="133">
          <cell r="A133">
            <v>132</v>
          </cell>
          <cell r="B133" t="str">
            <v>Pg</v>
          </cell>
          <cell r="C133">
            <v>6</v>
          </cell>
          <cell r="D133">
            <v>80216</v>
          </cell>
          <cell r="E133">
            <v>100416</v>
          </cell>
          <cell r="F133" t="str">
            <v>For</v>
          </cell>
          <cell r="G133">
            <v>2819</v>
          </cell>
          <cell r="H133" t="str">
            <v>FORT SOLUTIONS COM IMP EXP LTDA</v>
          </cell>
          <cell r="I133">
            <v>11750</v>
          </cell>
          <cell r="J133">
            <v>2</v>
          </cell>
          <cell r="K133">
            <v>4</v>
          </cell>
          <cell r="L133">
            <v>341</v>
          </cell>
          <cell r="M133">
            <v>12847.25</v>
          </cell>
          <cell r="N133">
            <v>0</v>
          </cell>
          <cell r="O133">
            <v>0</v>
          </cell>
          <cell r="P133">
            <v>4</v>
          </cell>
          <cell r="Q133">
            <v>110416</v>
          </cell>
        </row>
        <row r="134">
          <cell r="A134">
            <v>133</v>
          </cell>
          <cell r="B134" t="str">
            <v>Pg</v>
          </cell>
          <cell r="C134">
            <v>6</v>
          </cell>
          <cell r="D134">
            <v>110216</v>
          </cell>
          <cell r="E134">
            <v>100416</v>
          </cell>
          <cell r="F134" t="str">
            <v>For</v>
          </cell>
          <cell r="G134">
            <v>2819</v>
          </cell>
          <cell r="H134" t="str">
            <v>FORT SOLUTIONS COM IMP EXP LTDA</v>
          </cell>
          <cell r="I134">
            <v>11761</v>
          </cell>
          <cell r="J134">
            <v>2</v>
          </cell>
          <cell r="K134">
            <v>4</v>
          </cell>
          <cell r="L134">
            <v>341</v>
          </cell>
          <cell r="M134">
            <v>3062.4</v>
          </cell>
          <cell r="N134">
            <v>0</v>
          </cell>
          <cell r="O134">
            <v>0</v>
          </cell>
          <cell r="P134">
            <v>4</v>
          </cell>
          <cell r="Q134">
            <v>110416</v>
          </cell>
        </row>
        <row r="135">
          <cell r="A135">
            <v>134</v>
          </cell>
          <cell r="B135" t="str">
            <v>Pg</v>
          </cell>
          <cell r="C135">
            <v>6</v>
          </cell>
          <cell r="D135">
            <v>110216</v>
          </cell>
          <cell r="E135">
            <v>100416</v>
          </cell>
          <cell r="F135" t="str">
            <v>For</v>
          </cell>
          <cell r="G135">
            <v>2819</v>
          </cell>
          <cell r="H135" t="str">
            <v>FORT SOLUTIONS COM IMP EXP LTDA</v>
          </cell>
          <cell r="I135">
            <v>11795</v>
          </cell>
          <cell r="J135">
            <v>2</v>
          </cell>
          <cell r="K135">
            <v>4</v>
          </cell>
          <cell r="L135">
            <v>341</v>
          </cell>
          <cell r="M135">
            <v>4459.95</v>
          </cell>
          <cell r="N135">
            <v>0</v>
          </cell>
          <cell r="O135">
            <v>0</v>
          </cell>
          <cell r="P135">
            <v>4</v>
          </cell>
          <cell r="Q135">
            <v>110416</v>
          </cell>
        </row>
        <row r="136">
          <cell r="A136">
            <v>135</v>
          </cell>
          <cell r="B136" t="str">
            <v>Pg</v>
          </cell>
          <cell r="C136">
            <v>6</v>
          </cell>
          <cell r="D136">
            <v>110316</v>
          </cell>
          <cell r="E136">
            <v>100416</v>
          </cell>
          <cell r="F136" t="str">
            <v>For</v>
          </cell>
          <cell r="G136">
            <v>2136</v>
          </cell>
          <cell r="H136" t="str">
            <v>SEB COML. DE PRODS. DOMESTICOS  LTDA</v>
          </cell>
          <cell r="I136">
            <v>394626</v>
          </cell>
          <cell r="J136">
            <v>1</v>
          </cell>
          <cell r="K136">
            <v>1</v>
          </cell>
          <cell r="L136">
            <v>341</v>
          </cell>
          <cell r="M136">
            <v>33530.76</v>
          </cell>
          <cell r="N136">
            <v>0</v>
          </cell>
          <cell r="O136">
            <v>0</v>
          </cell>
          <cell r="P136">
            <v>4</v>
          </cell>
          <cell r="Q136">
            <v>110416</v>
          </cell>
        </row>
        <row r="137">
          <cell r="A137">
            <v>136</v>
          </cell>
          <cell r="B137" t="str">
            <v>Pg</v>
          </cell>
          <cell r="C137">
            <v>6</v>
          </cell>
          <cell r="D137">
            <v>150316</v>
          </cell>
          <cell r="E137">
            <v>100416</v>
          </cell>
          <cell r="F137" t="str">
            <v>For</v>
          </cell>
          <cell r="G137">
            <v>2863</v>
          </cell>
          <cell r="H137" t="str">
            <v>MVD COM. DE UTIL. DOM. E BRINQ. EIRELI -EPP</v>
          </cell>
          <cell r="I137">
            <v>54</v>
          </cell>
          <cell r="J137">
            <v>1</v>
          </cell>
          <cell r="K137">
            <v>1</v>
          </cell>
          <cell r="L137">
            <v>341</v>
          </cell>
          <cell r="M137">
            <v>13200</v>
          </cell>
          <cell r="N137">
            <v>0</v>
          </cell>
          <cell r="O137">
            <v>0</v>
          </cell>
          <cell r="P137">
            <v>4</v>
          </cell>
          <cell r="Q137">
            <v>110416</v>
          </cell>
        </row>
        <row r="138">
          <cell r="A138">
            <v>137</v>
          </cell>
          <cell r="B138" t="str">
            <v>Pg</v>
          </cell>
          <cell r="C138">
            <v>3</v>
          </cell>
          <cell r="D138">
            <v>220316</v>
          </cell>
          <cell r="E138">
            <v>100416</v>
          </cell>
          <cell r="F138" t="str">
            <v>For</v>
          </cell>
          <cell r="G138">
            <v>4</v>
          </cell>
          <cell r="H138" t="str">
            <v>DELTA IND E COMERCIO DE BIJOUTERIA LTDA ME</v>
          </cell>
          <cell r="I138">
            <v>6356</v>
          </cell>
          <cell r="J138">
            <v>1</v>
          </cell>
          <cell r="K138">
            <v>1</v>
          </cell>
          <cell r="L138">
            <v>341</v>
          </cell>
          <cell r="M138">
            <v>692</v>
          </cell>
          <cell r="N138">
            <v>0</v>
          </cell>
          <cell r="O138">
            <v>0</v>
          </cell>
          <cell r="P138">
            <v>4</v>
          </cell>
          <cell r="Q138">
            <v>110416</v>
          </cell>
        </row>
        <row r="139">
          <cell r="A139">
            <v>138</v>
          </cell>
          <cell r="B139" t="str">
            <v>Pg</v>
          </cell>
          <cell r="C139">
            <v>1</v>
          </cell>
          <cell r="D139">
            <v>220316</v>
          </cell>
          <cell r="E139">
            <v>100416</v>
          </cell>
          <cell r="F139" t="str">
            <v>For</v>
          </cell>
          <cell r="G139">
            <v>4</v>
          </cell>
          <cell r="H139" t="str">
            <v>DELTA IND E COMERCIO DE BIJOUTERIA LTDA ME</v>
          </cell>
          <cell r="I139">
            <v>6355</v>
          </cell>
          <cell r="J139">
            <v>1</v>
          </cell>
          <cell r="K139">
            <v>1</v>
          </cell>
          <cell r="L139">
            <v>341</v>
          </cell>
          <cell r="M139">
            <v>738</v>
          </cell>
          <cell r="N139">
            <v>0</v>
          </cell>
          <cell r="O139">
            <v>0</v>
          </cell>
          <cell r="P139">
            <v>4</v>
          </cell>
          <cell r="Q139">
            <v>110416</v>
          </cell>
        </row>
        <row r="140">
          <cell r="A140">
            <v>139</v>
          </cell>
          <cell r="B140" t="str">
            <v>Pg</v>
          </cell>
          <cell r="C140">
            <v>6</v>
          </cell>
          <cell r="D140">
            <v>220316</v>
          </cell>
          <cell r="E140">
            <v>100416</v>
          </cell>
          <cell r="F140" t="str">
            <v>For</v>
          </cell>
          <cell r="G140">
            <v>930</v>
          </cell>
          <cell r="H140" t="str">
            <v>PEPSICO DO BRASIL LTDA.</v>
          </cell>
          <cell r="I140">
            <v>88029</v>
          </cell>
          <cell r="J140">
            <v>1</v>
          </cell>
          <cell r="K140">
            <v>1</v>
          </cell>
          <cell r="L140">
            <v>341</v>
          </cell>
          <cell r="M140">
            <v>3403.84</v>
          </cell>
          <cell r="N140">
            <v>0</v>
          </cell>
          <cell r="O140">
            <v>0</v>
          </cell>
          <cell r="P140">
            <v>4</v>
          </cell>
          <cell r="Q140">
            <v>110416</v>
          </cell>
        </row>
        <row r="141">
          <cell r="A141">
            <v>140</v>
          </cell>
          <cell r="B141" t="str">
            <v>Pg</v>
          </cell>
          <cell r="C141">
            <v>6</v>
          </cell>
          <cell r="D141">
            <v>220316</v>
          </cell>
          <cell r="E141">
            <v>100416</v>
          </cell>
          <cell r="F141" t="str">
            <v>For</v>
          </cell>
          <cell r="G141">
            <v>930</v>
          </cell>
          <cell r="H141" t="str">
            <v>PEPSICO DO BRASIL LTDA.</v>
          </cell>
          <cell r="I141">
            <v>88030</v>
          </cell>
          <cell r="J141">
            <v>1</v>
          </cell>
          <cell r="K141">
            <v>1</v>
          </cell>
          <cell r="L141">
            <v>341</v>
          </cell>
          <cell r="M141">
            <v>34728.33</v>
          </cell>
          <cell r="N141">
            <v>0</v>
          </cell>
          <cell r="O141">
            <v>0</v>
          </cell>
          <cell r="P141">
            <v>4</v>
          </cell>
          <cell r="Q141">
            <v>110416</v>
          </cell>
        </row>
        <row r="142">
          <cell r="A142">
            <v>141</v>
          </cell>
          <cell r="B142" t="str">
            <v>Pg</v>
          </cell>
          <cell r="C142">
            <v>6</v>
          </cell>
          <cell r="D142">
            <v>220316</v>
          </cell>
          <cell r="E142">
            <v>100416</v>
          </cell>
          <cell r="F142" t="str">
            <v>For</v>
          </cell>
          <cell r="G142">
            <v>930</v>
          </cell>
          <cell r="H142" t="str">
            <v>PEPSICO DO BRASIL LTDA.</v>
          </cell>
          <cell r="I142">
            <v>88031</v>
          </cell>
          <cell r="J142">
            <v>1</v>
          </cell>
          <cell r="K142">
            <v>1</v>
          </cell>
          <cell r="L142">
            <v>341</v>
          </cell>
          <cell r="M142">
            <v>1580.36</v>
          </cell>
          <cell r="N142">
            <v>0</v>
          </cell>
          <cell r="O142">
            <v>0</v>
          </cell>
          <cell r="P142">
            <v>4</v>
          </cell>
          <cell r="Q142">
            <v>110416</v>
          </cell>
        </row>
        <row r="143">
          <cell r="A143">
            <v>142</v>
          </cell>
          <cell r="B143" t="str">
            <v>Pg</v>
          </cell>
          <cell r="C143">
            <v>6</v>
          </cell>
          <cell r="D143">
            <v>230316</v>
          </cell>
          <cell r="E143">
            <v>100416</v>
          </cell>
          <cell r="F143" t="str">
            <v>For</v>
          </cell>
          <cell r="G143">
            <v>2332</v>
          </cell>
          <cell r="H143" t="str">
            <v>DISTRIBUIDORA DE BRINQUEDOS HOBBY LTDA</v>
          </cell>
          <cell r="I143">
            <v>70796</v>
          </cell>
          <cell r="J143">
            <v>1</v>
          </cell>
          <cell r="K143">
            <v>1</v>
          </cell>
          <cell r="L143">
            <v>999</v>
          </cell>
          <cell r="M143">
            <v>30667.01</v>
          </cell>
          <cell r="N143">
            <v>0</v>
          </cell>
          <cell r="O143">
            <v>0</v>
          </cell>
          <cell r="P143">
            <v>4</v>
          </cell>
          <cell r="Q143">
            <v>110416</v>
          </cell>
        </row>
        <row r="144">
          <cell r="A144">
            <v>143</v>
          </cell>
          <cell r="B144" t="str">
            <v>Pg</v>
          </cell>
          <cell r="C144">
            <v>6</v>
          </cell>
          <cell r="D144">
            <v>10416</v>
          </cell>
          <cell r="E144">
            <v>100416</v>
          </cell>
          <cell r="F144" t="str">
            <v>For</v>
          </cell>
          <cell r="G144">
            <v>1390</v>
          </cell>
          <cell r="H144" t="str">
            <v>RICLAN S.A</v>
          </cell>
          <cell r="I144">
            <v>254216</v>
          </cell>
          <cell r="J144">
            <v>1</v>
          </cell>
          <cell r="K144">
            <v>1</v>
          </cell>
          <cell r="L144">
            <v>341</v>
          </cell>
          <cell r="M144">
            <v>4542.49</v>
          </cell>
          <cell r="N144">
            <v>0</v>
          </cell>
          <cell r="O144">
            <v>0</v>
          </cell>
          <cell r="P144">
            <v>4</v>
          </cell>
          <cell r="Q144">
            <v>110416</v>
          </cell>
        </row>
        <row r="145">
          <cell r="A145">
            <v>144</v>
          </cell>
          <cell r="B145" t="str">
            <v>Pg</v>
          </cell>
          <cell r="C145">
            <v>10</v>
          </cell>
          <cell r="D145">
            <v>280915</v>
          </cell>
          <cell r="E145">
            <v>110416</v>
          </cell>
          <cell r="F145" t="str">
            <v>For</v>
          </cell>
          <cell r="G145">
            <v>2846</v>
          </cell>
          <cell r="H145" t="str">
            <v>BIC AMAZONIA S/A</v>
          </cell>
          <cell r="I145">
            <v>99306</v>
          </cell>
          <cell r="J145">
            <v>3</v>
          </cell>
          <cell r="K145">
            <v>4</v>
          </cell>
          <cell r="L145">
            <v>341</v>
          </cell>
          <cell r="M145">
            <v>9366.09</v>
          </cell>
          <cell r="N145">
            <v>0</v>
          </cell>
          <cell r="O145">
            <v>0</v>
          </cell>
          <cell r="P145">
            <v>4</v>
          </cell>
          <cell r="Q145">
            <v>110416</v>
          </cell>
        </row>
        <row r="146">
          <cell r="A146">
            <v>145</v>
          </cell>
          <cell r="B146" t="str">
            <v>Pg</v>
          </cell>
          <cell r="C146">
            <v>10</v>
          </cell>
          <cell r="D146">
            <v>290915</v>
          </cell>
          <cell r="E146">
            <v>110416</v>
          </cell>
          <cell r="F146" t="str">
            <v>For</v>
          </cell>
          <cell r="G146">
            <v>2847</v>
          </cell>
          <cell r="H146" t="str">
            <v>BIC AMAZONIA S/A</v>
          </cell>
          <cell r="I146">
            <v>113627</v>
          </cell>
          <cell r="J146">
            <v>3</v>
          </cell>
          <cell r="K146">
            <v>4</v>
          </cell>
          <cell r="L146">
            <v>341</v>
          </cell>
          <cell r="M146">
            <v>12043.65</v>
          </cell>
          <cell r="N146">
            <v>0</v>
          </cell>
          <cell r="O146">
            <v>0</v>
          </cell>
          <cell r="P146">
            <v>4</v>
          </cell>
          <cell r="Q146">
            <v>110416</v>
          </cell>
        </row>
        <row r="147">
          <cell r="A147">
            <v>146</v>
          </cell>
          <cell r="B147" t="str">
            <v>Pg</v>
          </cell>
          <cell r="C147">
            <v>6</v>
          </cell>
          <cell r="D147">
            <v>50216</v>
          </cell>
          <cell r="E147">
            <v>110416</v>
          </cell>
          <cell r="F147" t="str">
            <v>For</v>
          </cell>
          <cell r="G147">
            <v>1012</v>
          </cell>
          <cell r="H147" t="str">
            <v>SUTT COMERCIO E IMPORTACAO LTDA.</v>
          </cell>
          <cell r="I147">
            <v>27984</v>
          </cell>
          <cell r="J147">
            <v>1</v>
          </cell>
          <cell r="K147">
            <v>1</v>
          </cell>
          <cell r="L147">
            <v>341</v>
          </cell>
          <cell r="M147">
            <v>37733.599999999999</v>
          </cell>
          <cell r="N147">
            <v>0</v>
          </cell>
          <cell r="O147">
            <v>0</v>
          </cell>
          <cell r="P147">
            <v>4</v>
          </cell>
          <cell r="Q147">
            <v>110416</v>
          </cell>
        </row>
        <row r="148">
          <cell r="A148">
            <v>147</v>
          </cell>
          <cell r="B148" t="str">
            <v>Pg</v>
          </cell>
          <cell r="C148">
            <v>6</v>
          </cell>
          <cell r="D148">
            <v>50416</v>
          </cell>
          <cell r="E148">
            <v>110416</v>
          </cell>
          <cell r="F148" t="str">
            <v>For</v>
          </cell>
          <cell r="G148">
            <v>2804</v>
          </cell>
          <cell r="H148" t="str">
            <v>CLAMEL IND E COM DE PRODUTOS ALIMENTICIOS LTDA</v>
          </cell>
          <cell r="I148">
            <v>27859</v>
          </cell>
          <cell r="J148">
            <v>1</v>
          </cell>
          <cell r="K148">
            <v>1</v>
          </cell>
          <cell r="L148">
            <v>341</v>
          </cell>
          <cell r="M148">
            <v>5173.12</v>
          </cell>
          <cell r="N148">
            <v>0</v>
          </cell>
          <cell r="O148">
            <v>0</v>
          </cell>
          <cell r="P148">
            <v>4</v>
          </cell>
          <cell r="Q148">
            <v>110416</v>
          </cell>
        </row>
        <row r="149">
          <cell r="A149">
            <v>148</v>
          </cell>
          <cell r="B149" t="str">
            <v>Pg</v>
          </cell>
          <cell r="C149">
            <v>6</v>
          </cell>
          <cell r="D149">
            <v>50416</v>
          </cell>
          <cell r="E149">
            <v>110416</v>
          </cell>
          <cell r="F149" t="str">
            <v>For</v>
          </cell>
          <cell r="G149">
            <v>1628</v>
          </cell>
          <cell r="H149" t="str">
            <v>DOLFIN INDUSTRIA E COMERCIO LTDA</v>
          </cell>
          <cell r="I149">
            <v>52951</v>
          </cell>
          <cell r="J149">
            <v>1</v>
          </cell>
          <cell r="K149">
            <v>1</v>
          </cell>
          <cell r="L149">
            <v>341</v>
          </cell>
          <cell r="M149">
            <v>9622.41</v>
          </cell>
          <cell r="N149">
            <v>0</v>
          </cell>
          <cell r="O149">
            <v>0</v>
          </cell>
          <cell r="P149">
            <v>4</v>
          </cell>
          <cell r="Q149">
            <v>110416</v>
          </cell>
        </row>
        <row r="150">
          <cell r="A150">
            <v>149</v>
          </cell>
          <cell r="B150" t="str">
            <v>Pg</v>
          </cell>
          <cell r="C150">
            <v>6</v>
          </cell>
          <cell r="D150">
            <v>50416</v>
          </cell>
          <cell r="E150">
            <v>110416</v>
          </cell>
          <cell r="F150" t="str">
            <v>For</v>
          </cell>
          <cell r="G150">
            <v>2641</v>
          </cell>
          <cell r="H150" t="str">
            <v>GMOLD IND E COM DE PLASTICOS LTDA</v>
          </cell>
          <cell r="I150">
            <v>4807</v>
          </cell>
          <cell r="J150">
            <v>1</v>
          </cell>
          <cell r="K150">
            <v>1</v>
          </cell>
          <cell r="L150">
            <v>341</v>
          </cell>
          <cell r="M150">
            <v>2800</v>
          </cell>
          <cell r="N150">
            <v>0</v>
          </cell>
          <cell r="O150">
            <v>0</v>
          </cell>
          <cell r="P150">
            <v>4</v>
          </cell>
          <cell r="Q150">
            <v>110416</v>
          </cell>
        </row>
        <row r="151">
          <cell r="A151">
            <v>150</v>
          </cell>
          <cell r="B151" t="str">
            <v>Pg</v>
          </cell>
          <cell r="C151">
            <v>6</v>
          </cell>
          <cell r="D151">
            <v>60416</v>
          </cell>
          <cell r="E151">
            <v>110416</v>
          </cell>
          <cell r="F151" t="str">
            <v>For</v>
          </cell>
          <cell r="G151">
            <v>20</v>
          </cell>
          <cell r="H151" t="str">
            <v>RISCHIOTO IND. E COM. DE PLASTICOS LTDA.</v>
          </cell>
          <cell r="I151">
            <v>82428</v>
          </cell>
          <cell r="J151">
            <v>1</v>
          </cell>
          <cell r="K151">
            <v>1</v>
          </cell>
          <cell r="L151">
            <v>341</v>
          </cell>
          <cell r="M151">
            <v>28469.79</v>
          </cell>
          <cell r="N151">
            <v>0</v>
          </cell>
          <cell r="O151">
            <v>0</v>
          </cell>
          <cell r="P151">
            <v>4</v>
          </cell>
          <cell r="Q151">
            <v>110416</v>
          </cell>
        </row>
        <row r="152">
          <cell r="A152">
            <v>151</v>
          </cell>
          <cell r="B152" t="str">
            <v>Pg</v>
          </cell>
          <cell r="C152">
            <v>3</v>
          </cell>
          <cell r="D152">
            <v>80416</v>
          </cell>
          <cell r="E152">
            <v>110416</v>
          </cell>
          <cell r="F152" t="str">
            <v>For</v>
          </cell>
          <cell r="G152">
            <v>1354</v>
          </cell>
          <cell r="H152" t="str">
            <v>BAX INDUSTRIA E COMERCIO DE ARTIGOS PARA FESTAS LTDA</v>
          </cell>
          <cell r="I152">
            <v>9202</v>
          </cell>
          <cell r="J152">
            <v>1</v>
          </cell>
          <cell r="K152">
            <v>1</v>
          </cell>
          <cell r="L152">
            <v>237</v>
          </cell>
          <cell r="M152">
            <v>5609.33</v>
          </cell>
          <cell r="N152">
            <v>560.94000000000005</v>
          </cell>
          <cell r="O152">
            <v>0</v>
          </cell>
          <cell r="P152">
            <v>14</v>
          </cell>
          <cell r="Q152">
            <v>110416</v>
          </cell>
        </row>
        <row r="153">
          <cell r="A153">
            <v>152</v>
          </cell>
          <cell r="B153" t="str">
            <v>Pg</v>
          </cell>
          <cell r="C153">
            <v>5</v>
          </cell>
          <cell r="D153">
            <v>80416</v>
          </cell>
          <cell r="E153">
            <v>110416</v>
          </cell>
          <cell r="F153" t="str">
            <v>For</v>
          </cell>
          <cell r="G153">
            <v>1354</v>
          </cell>
          <cell r="H153" t="str">
            <v>BAX INDUSTRIA E COMERCIO DE ARTIGOS PARA FESTAS LTDA</v>
          </cell>
          <cell r="I153">
            <v>9208</v>
          </cell>
          <cell r="J153">
            <v>1</v>
          </cell>
          <cell r="K153">
            <v>1</v>
          </cell>
          <cell r="L153">
            <v>237</v>
          </cell>
          <cell r="M153">
            <v>1906.74</v>
          </cell>
          <cell r="N153">
            <v>190.68</v>
          </cell>
          <cell r="O153">
            <v>0</v>
          </cell>
          <cell r="P153">
            <v>14</v>
          </cell>
          <cell r="Q153">
            <v>110416</v>
          </cell>
        </row>
        <row r="154">
          <cell r="A154">
            <v>153</v>
          </cell>
          <cell r="B154" t="str">
            <v>Pg</v>
          </cell>
          <cell r="C154">
            <v>6</v>
          </cell>
          <cell r="D154">
            <v>10316</v>
          </cell>
          <cell r="E154">
            <v>120416</v>
          </cell>
          <cell r="F154" t="str">
            <v>For</v>
          </cell>
          <cell r="G154">
            <v>2924</v>
          </cell>
          <cell r="H154" t="str">
            <v>ARTHI COMERCIAL LTDA</v>
          </cell>
          <cell r="I154">
            <v>2017</v>
          </cell>
          <cell r="J154">
            <v>1</v>
          </cell>
          <cell r="K154">
            <v>1</v>
          </cell>
          <cell r="L154">
            <v>341</v>
          </cell>
          <cell r="M154">
            <v>61048.04</v>
          </cell>
          <cell r="N154">
            <v>639.32000000000005</v>
          </cell>
          <cell r="O154">
            <v>0</v>
          </cell>
          <cell r="P154">
            <v>4</v>
          </cell>
          <cell r="Q154">
            <v>150416</v>
          </cell>
        </row>
        <row r="155">
          <cell r="A155">
            <v>154</v>
          </cell>
          <cell r="B155" t="str">
            <v>Pg</v>
          </cell>
          <cell r="C155">
            <v>6</v>
          </cell>
          <cell r="D155">
            <v>30316</v>
          </cell>
          <cell r="E155">
            <v>120416</v>
          </cell>
          <cell r="F155" t="str">
            <v>For</v>
          </cell>
          <cell r="G155">
            <v>1272</v>
          </cell>
          <cell r="H155" t="str">
            <v>SEMENTES ESPERANCA COMERCIO IMP.EXP.LTDA</v>
          </cell>
          <cell r="I155">
            <v>18116</v>
          </cell>
          <cell r="J155">
            <v>1</v>
          </cell>
          <cell r="K155">
            <v>1</v>
          </cell>
          <cell r="L155">
            <v>237</v>
          </cell>
          <cell r="M155">
            <v>5450.36</v>
          </cell>
          <cell r="N155">
            <v>0</v>
          </cell>
          <cell r="O155">
            <v>0</v>
          </cell>
          <cell r="P155">
            <v>4</v>
          </cell>
          <cell r="Q155">
            <v>120416</v>
          </cell>
        </row>
        <row r="156">
          <cell r="A156">
            <v>155</v>
          </cell>
          <cell r="B156" t="str">
            <v>Pg</v>
          </cell>
          <cell r="C156">
            <v>6</v>
          </cell>
          <cell r="D156">
            <v>80316</v>
          </cell>
          <cell r="E156">
            <v>120416</v>
          </cell>
          <cell r="F156" t="str">
            <v>For</v>
          </cell>
          <cell r="G156">
            <v>40</v>
          </cell>
          <cell r="H156" t="str">
            <v>H8 COM. IMP. E EXPORTACAO LTDA.</v>
          </cell>
          <cell r="I156">
            <v>21529</v>
          </cell>
          <cell r="J156">
            <v>2</v>
          </cell>
          <cell r="K156">
            <v>3</v>
          </cell>
          <cell r="L156">
            <v>237</v>
          </cell>
          <cell r="M156">
            <v>30186.25</v>
          </cell>
          <cell r="N156">
            <v>0</v>
          </cell>
          <cell r="O156">
            <v>0</v>
          </cell>
          <cell r="P156">
            <v>4</v>
          </cell>
          <cell r="Q156">
            <v>120416</v>
          </cell>
        </row>
        <row r="157">
          <cell r="A157">
            <v>156</v>
          </cell>
          <cell r="B157" t="str">
            <v>Pg</v>
          </cell>
          <cell r="C157">
            <v>6</v>
          </cell>
          <cell r="D157">
            <v>90316</v>
          </cell>
          <cell r="E157">
            <v>120416</v>
          </cell>
          <cell r="F157" t="str">
            <v>For</v>
          </cell>
          <cell r="G157">
            <v>2676</v>
          </cell>
          <cell r="H157" t="str">
            <v>PINGUIM COMERCIO DE PRESENTES LTDA EPP</v>
          </cell>
          <cell r="I157">
            <v>2334</v>
          </cell>
          <cell r="J157">
            <v>1</v>
          </cell>
          <cell r="K157">
            <v>1</v>
          </cell>
          <cell r="L157">
            <v>237</v>
          </cell>
          <cell r="M157">
            <v>5039.04</v>
          </cell>
          <cell r="N157">
            <v>0</v>
          </cell>
          <cell r="O157">
            <v>0</v>
          </cell>
          <cell r="P157">
            <v>4</v>
          </cell>
          <cell r="Q157">
            <v>120416</v>
          </cell>
        </row>
        <row r="158">
          <cell r="A158">
            <v>157</v>
          </cell>
          <cell r="B158" t="str">
            <v>Pg</v>
          </cell>
          <cell r="C158">
            <v>5</v>
          </cell>
          <cell r="D158">
            <v>90316</v>
          </cell>
          <cell r="E158">
            <v>120416</v>
          </cell>
          <cell r="F158" t="str">
            <v>For</v>
          </cell>
          <cell r="G158">
            <v>2316</v>
          </cell>
          <cell r="H158" t="str">
            <v>NOVA CAMPINAS DISTRIBUIDORA DE ALIMENTOS LTDA</v>
          </cell>
          <cell r="I158">
            <v>286874</v>
          </cell>
          <cell r="J158">
            <v>2</v>
          </cell>
          <cell r="K158">
            <v>2</v>
          </cell>
          <cell r="L158">
            <v>237</v>
          </cell>
          <cell r="M158">
            <v>702</v>
          </cell>
          <cell r="N158">
            <v>0</v>
          </cell>
          <cell r="O158">
            <v>0</v>
          </cell>
          <cell r="P158">
            <v>4</v>
          </cell>
          <cell r="Q158">
            <v>120416</v>
          </cell>
        </row>
        <row r="159">
          <cell r="A159">
            <v>158</v>
          </cell>
          <cell r="B159" t="str">
            <v>Pg</v>
          </cell>
          <cell r="C159">
            <v>6</v>
          </cell>
          <cell r="D159">
            <v>240316</v>
          </cell>
          <cell r="E159">
            <v>120416</v>
          </cell>
          <cell r="F159" t="str">
            <v>For</v>
          </cell>
          <cell r="G159">
            <v>930</v>
          </cell>
          <cell r="H159" t="str">
            <v>PEPSICO DO BRASIL LTDA.</v>
          </cell>
          <cell r="I159">
            <v>88161</v>
          </cell>
          <cell r="J159">
            <v>1</v>
          </cell>
          <cell r="K159">
            <v>1</v>
          </cell>
          <cell r="L159">
            <v>237</v>
          </cell>
          <cell r="M159">
            <v>514.88</v>
          </cell>
          <cell r="N159">
            <v>0</v>
          </cell>
          <cell r="O159">
            <v>0</v>
          </cell>
          <cell r="P159">
            <v>4</v>
          </cell>
          <cell r="Q159">
            <v>120416</v>
          </cell>
        </row>
        <row r="160">
          <cell r="A160">
            <v>159</v>
          </cell>
          <cell r="B160" t="str">
            <v>Pg</v>
          </cell>
          <cell r="C160">
            <v>6</v>
          </cell>
          <cell r="D160">
            <v>240316</v>
          </cell>
          <cell r="E160">
            <v>120416</v>
          </cell>
          <cell r="F160" t="str">
            <v>For</v>
          </cell>
          <cell r="G160">
            <v>2958</v>
          </cell>
          <cell r="H160" t="str">
            <v>JAGUAR INDUSTRIA E COMERCIO DE PLASTICOS LTDA</v>
          </cell>
          <cell r="I160">
            <v>8359</v>
          </cell>
          <cell r="J160">
            <v>1</v>
          </cell>
          <cell r="K160">
            <v>1</v>
          </cell>
          <cell r="L160">
            <v>237</v>
          </cell>
          <cell r="M160">
            <v>10855.68</v>
          </cell>
          <cell r="N160">
            <v>0</v>
          </cell>
          <cell r="O160">
            <v>0</v>
          </cell>
          <cell r="P160">
            <v>4</v>
          </cell>
          <cell r="Q160">
            <v>120416</v>
          </cell>
        </row>
        <row r="161">
          <cell r="A161">
            <v>160</v>
          </cell>
          <cell r="B161" t="str">
            <v>Pg</v>
          </cell>
          <cell r="C161">
            <v>6</v>
          </cell>
          <cell r="D161">
            <v>240316</v>
          </cell>
          <cell r="E161">
            <v>120416</v>
          </cell>
          <cell r="F161" t="str">
            <v>For</v>
          </cell>
          <cell r="G161">
            <v>2958</v>
          </cell>
          <cell r="H161" t="str">
            <v>JAGUAR INDUSTRIA E COMERCIO DE PLASTICOS LTDA</v>
          </cell>
          <cell r="I161">
            <v>8360</v>
          </cell>
          <cell r="J161">
            <v>1</v>
          </cell>
          <cell r="K161">
            <v>1</v>
          </cell>
          <cell r="L161">
            <v>237</v>
          </cell>
          <cell r="M161">
            <v>32281.26</v>
          </cell>
          <cell r="N161">
            <v>1643.48</v>
          </cell>
          <cell r="O161">
            <v>0</v>
          </cell>
          <cell r="P161">
            <v>4</v>
          </cell>
          <cell r="Q161">
            <v>120416</v>
          </cell>
        </row>
        <row r="162">
          <cell r="A162">
            <v>161</v>
          </cell>
          <cell r="B162" t="str">
            <v>Pg</v>
          </cell>
          <cell r="C162">
            <v>6</v>
          </cell>
          <cell r="D162">
            <v>280316</v>
          </cell>
          <cell r="E162">
            <v>120416</v>
          </cell>
          <cell r="F162" t="str">
            <v>For</v>
          </cell>
          <cell r="G162">
            <v>1747</v>
          </cell>
          <cell r="H162" t="str">
            <v>TOYPLAST PLASTICOS LTDA</v>
          </cell>
          <cell r="I162">
            <v>48842</v>
          </cell>
          <cell r="J162">
            <v>1</v>
          </cell>
          <cell r="K162">
            <v>1</v>
          </cell>
          <cell r="L162">
            <v>237</v>
          </cell>
          <cell r="M162">
            <v>248.6</v>
          </cell>
          <cell r="N162">
            <v>0</v>
          </cell>
          <cell r="O162">
            <v>0</v>
          </cell>
          <cell r="P162">
            <v>4</v>
          </cell>
          <cell r="Q162">
            <v>120416</v>
          </cell>
        </row>
        <row r="163">
          <cell r="A163">
            <v>162</v>
          </cell>
          <cell r="B163" t="str">
            <v>Pg</v>
          </cell>
          <cell r="C163">
            <v>6</v>
          </cell>
          <cell r="D163">
            <v>290316</v>
          </cell>
          <cell r="E163">
            <v>120416</v>
          </cell>
          <cell r="F163" t="str">
            <v>For</v>
          </cell>
          <cell r="G163">
            <v>1475</v>
          </cell>
          <cell r="H163" t="str">
            <v>NEVIO &amp; MOYA ARTEFATOS DE ALUMINIO LTDA</v>
          </cell>
          <cell r="I163">
            <v>31471</v>
          </cell>
          <cell r="J163">
            <v>1</v>
          </cell>
          <cell r="K163">
            <v>1</v>
          </cell>
          <cell r="L163">
            <v>237</v>
          </cell>
          <cell r="M163">
            <v>63922.92</v>
          </cell>
          <cell r="N163">
            <v>0</v>
          </cell>
          <cell r="O163">
            <v>0</v>
          </cell>
          <cell r="P163">
            <v>4</v>
          </cell>
          <cell r="Q163">
            <v>120416</v>
          </cell>
        </row>
        <row r="164">
          <cell r="A164">
            <v>163</v>
          </cell>
          <cell r="B164" t="str">
            <v>Pg</v>
          </cell>
          <cell r="C164">
            <v>6</v>
          </cell>
          <cell r="D164">
            <v>300316</v>
          </cell>
          <cell r="E164">
            <v>120416</v>
          </cell>
          <cell r="F164" t="str">
            <v>For</v>
          </cell>
          <cell r="G164">
            <v>2332</v>
          </cell>
          <cell r="H164" t="str">
            <v>DISTRIBUIDORA DE BRINQUEDOS HOBBY LTDA</v>
          </cell>
          <cell r="I164">
            <v>70886</v>
          </cell>
          <cell r="J164">
            <v>1</v>
          </cell>
          <cell r="K164">
            <v>1</v>
          </cell>
          <cell r="L164">
            <v>237</v>
          </cell>
          <cell r="M164">
            <v>1180.5</v>
          </cell>
          <cell r="N164">
            <v>0</v>
          </cell>
          <cell r="O164">
            <v>0</v>
          </cell>
          <cell r="P164">
            <v>4</v>
          </cell>
          <cell r="Q164">
            <v>120416</v>
          </cell>
        </row>
        <row r="165">
          <cell r="A165">
            <v>164</v>
          </cell>
          <cell r="B165" t="str">
            <v>Pg</v>
          </cell>
          <cell r="C165">
            <v>1</v>
          </cell>
          <cell r="D165">
            <v>40416</v>
          </cell>
          <cell r="E165">
            <v>120416</v>
          </cell>
          <cell r="F165" t="str">
            <v>For</v>
          </cell>
          <cell r="G165">
            <v>1527</v>
          </cell>
          <cell r="H165" t="str">
            <v>PECCIN S.A.</v>
          </cell>
          <cell r="I165">
            <v>235016</v>
          </cell>
          <cell r="J165">
            <v>1</v>
          </cell>
          <cell r="K165">
            <v>1</v>
          </cell>
          <cell r="L165">
            <v>237</v>
          </cell>
          <cell r="M165">
            <v>1550.43</v>
          </cell>
          <cell r="N165">
            <v>0</v>
          </cell>
          <cell r="O165">
            <v>0</v>
          </cell>
          <cell r="P165">
            <v>4</v>
          </cell>
          <cell r="Q165">
            <v>120416</v>
          </cell>
        </row>
        <row r="166">
          <cell r="A166">
            <v>165</v>
          </cell>
          <cell r="B166" t="str">
            <v>Pg</v>
          </cell>
          <cell r="C166">
            <v>6</v>
          </cell>
          <cell r="D166">
            <v>50416</v>
          </cell>
          <cell r="E166">
            <v>120416</v>
          </cell>
          <cell r="F166" t="str">
            <v>For</v>
          </cell>
          <cell r="G166">
            <v>1469</v>
          </cell>
          <cell r="H166" t="str">
            <v>VIEL INDUSTRIA METALURGICA LTDA.</v>
          </cell>
          <cell r="I166">
            <v>57750</v>
          </cell>
          <cell r="J166">
            <v>1</v>
          </cell>
          <cell r="K166">
            <v>1</v>
          </cell>
          <cell r="L166">
            <v>237</v>
          </cell>
          <cell r="M166">
            <v>38534.1</v>
          </cell>
          <cell r="N166">
            <v>0</v>
          </cell>
          <cell r="O166">
            <v>0</v>
          </cell>
          <cell r="P166">
            <v>4</v>
          </cell>
          <cell r="Q166">
            <v>120416</v>
          </cell>
        </row>
        <row r="167">
          <cell r="A167">
            <v>166</v>
          </cell>
          <cell r="B167" t="str">
            <v>Pg</v>
          </cell>
          <cell r="C167">
            <v>3</v>
          </cell>
          <cell r="D167">
            <v>50416</v>
          </cell>
          <cell r="E167">
            <v>120416</v>
          </cell>
          <cell r="F167" t="str">
            <v>For</v>
          </cell>
          <cell r="G167">
            <v>1278</v>
          </cell>
          <cell r="H167" t="str">
            <v>LUA NOVA IND.E COM.DE PROD.ALIMENT.LTDA.</v>
          </cell>
          <cell r="I167">
            <v>2322214</v>
          </cell>
          <cell r="J167">
            <v>1</v>
          </cell>
          <cell r="K167">
            <v>1</v>
          </cell>
          <cell r="L167">
            <v>237</v>
          </cell>
          <cell r="M167">
            <v>875.16</v>
          </cell>
          <cell r="N167">
            <v>0</v>
          </cell>
          <cell r="O167">
            <v>0</v>
          </cell>
          <cell r="P167">
            <v>4</v>
          </cell>
          <cell r="Q167">
            <v>120416</v>
          </cell>
        </row>
        <row r="168">
          <cell r="A168">
            <v>167</v>
          </cell>
          <cell r="B168" t="str">
            <v>Pg</v>
          </cell>
          <cell r="C168">
            <v>3</v>
          </cell>
          <cell r="D168">
            <v>50416</v>
          </cell>
          <cell r="E168">
            <v>120416</v>
          </cell>
          <cell r="F168" t="str">
            <v>For</v>
          </cell>
          <cell r="G168">
            <v>1278</v>
          </cell>
          <cell r="H168" t="str">
            <v>LUA NOVA IND.E COM.DE PROD.ALIMENT.LTDA.</v>
          </cell>
          <cell r="I168">
            <v>2322215</v>
          </cell>
          <cell r="J168">
            <v>1</v>
          </cell>
          <cell r="K168">
            <v>1</v>
          </cell>
          <cell r="L168">
            <v>237</v>
          </cell>
          <cell r="M168">
            <v>353.91</v>
          </cell>
          <cell r="N168">
            <v>0</v>
          </cell>
          <cell r="O168">
            <v>0</v>
          </cell>
          <cell r="P168">
            <v>4</v>
          </cell>
          <cell r="Q168">
            <v>120416</v>
          </cell>
        </row>
        <row r="169">
          <cell r="A169">
            <v>168</v>
          </cell>
          <cell r="B169" t="str">
            <v>Pg</v>
          </cell>
          <cell r="C169">
            <v>6</v>
          </cell>
          <cell r="D169">
            <v>70416</v>
          </cell>
          <cell r="E169">
            <v>120416</v>
          </cell>
          <cell r="F169" t="str">
            <v>For</v>
          </cell>
          <cell r="G169">
            <v>61</v>
          </cell>
          <cell r="H169" t="str">
            <v>PLASBRINK EMBALAGENS PLASTICAS LTDA</v>
          </cell>
          <cell r="I169">
            <v>9415</v>
          </cell>
          <cell r="J169">
            <v>1</v>
          </cell>
          <cell r="K169">
            <v>1</v>
          </cell>
          <cell r="L169">
            <v>341</v>
          </cell>
          <cell r="M169">
            <v>35435.9</v>
          </cell>
          <cell r="N169">
            <v>0</v>
          </cell>
          <cell r="O169">
            <v>0</v>
          </cell>
          <cell r="P169">
            <v>14</v>
          </cell>
          <cell r="Q169">
            <v>120416</v>
          </cell>
        </row>
        <row r="170">
          <cell r="A170">
            <v>169</v>
          </cell>
          <cell r="B170" t="str">
            <v>Pg</v>
          </cell>
          <cell r="C170">
            <v>3</v>
          </cell>
          <cell r="D170">
            <v>70416</v>
          </cell>
          <cell r="E170">
            <v>120416</v>
          </cell>
          <cell r="F170" t="str">
            <v>For</v>
          </cell>
          <cell r="G170">
            <v>2204</v>
          </cell>
          <cell r="H170" t="str">
            <v>POLYSER COMERCIO DE COSMETICOS LTDA</v>
          </cell>
          <cell r="I170">
            <v>61229</v>
          </cell>
          <cell r="J170">
            <v>1</v>
          </cell>
          <cell r="K170">
            <v>1</v>
          </cell>
          <cell r="L170">
            <v>237</v>
          </cell>
          <cell r="M170">
            <v>1536.24</v>
          </cell>
          <cell r="N170">
            <v>0</v>
          </cell>
          <cell r="O170">
            <v>0</v>
          </cell>
          <cell r="P170">
            <v>4</v>
          </cell>
          <cell r="Q170">
            <v>120416</v>
          </cell>
        </row>
        <row r="171">
          <cell r="A171">
            <v>170</v>
          </cell>
          <cell r="B171" t="str">
            <v>Pg</v>
          </cell>
          <cell r="C171">
            <v>6</v>
          </cell>
          <cell r="D171">
            <v>70416</v>
          </cell>
          <cell r="E171">
            <v>120416</v>
          </cell>
          <cell r="F171" t="str">
            <v>For</v>
          </cell>
          <cell r="G171">
            <v>1294</v>
          </cell>
          <cell r="H171" t="str">
            <v>OVERTIME LTDA EPP</v>
          </cell>
          <cell r="I171">
            <v>27058</v>
          </cell>
          <cell r="J171">
            <v>1</v>
          </cell>
          <cell r="K171">
            <v>1</v>
          </cell>
          <cell r="L171">
            <v>237</v>
          </cell>
          <cell r="M171">
            <v>9731.52</v>
          </cell>
          <cell r="N171">
            <v>0</v>
          </cell>
          <cell r="O171">
            <v>0</v>
          </cell>
          <cell r="P171">
            <v>4</v>
          </cell>
          <cell r="Q171">
            <v>120416</v>
          </cell>
        </row>
        <row r="172">
          <cell r="A172">
            <v>171</v>
          </cell>
          <cell r="B172" t="str">
            <v>Pg</v>
          </cell>
          <cell r="C172">
            <v>6</v>
          </cell>
          <cell r="D172">
            <v>110416</v>
          </cell>
          <cell r="E172">
            <v>120416</v>
          </cell>
          <cell r="F172" t="str">
            <v>For</v>
          </cell>
          <cell r="G172">
            <v>885</v>
          </cell>
          <cell r="H172" t="str">
            <v>UTIL COMERCIO E CONFECCAO LTDA EPP</v>
          </cell>
          <cell r="I172">
            <v>10113</v>
          </cell>
          <cell r="J172">
            <v>1</v>
          </cell>
          <cell r="K172">
            <v>1</v>
          </cell>
          <cell r="L172">
            <v>237</v>
          </cell>
          <cell r="M172">
            <v>31685.34</v>
          </cell>
          <cell r="N172">
            <v>0</v>
          </cell>
          <cell r="O172">
            <v>0</v>
          </cell>
          <cell r="P172">
            <v>4</v>
          </cell>
          <cell r="Q172">
            <v>120416</v>
          </cell>
        </row>
        <row r="173">
          <cell r="A173">
            <v>172</v>
          </cell>
          <cell r="B173" t="str">
            <v>Pg</v>
          </cell>
          <cell r="C173">
            <v>6</v>
          </cell>
          <cell r="D173">
            <v>80216</v>
          </cell>
          <cell r="E173">
            <v>130416</v>
          </cell>
          <cell r="F173" t="str">
            <v>For</v>
          </cell>
          <cell r="G173">
            <v>1009</v>
          </cell>
          <cell r="H173" t="str">
            <v>DORI IND.COM.PROD.ALIMENT.LTDA</v>
          </cell>
          <cell r="I173">
            <v>603042</v>
          </cell>
          <cell r="J173">
            <v>5</v>
          </cell>
          <cell r="K173">
            <v>5</v>
          </cell>
          <cell r="L173">
            <v>341</v>
          </cell>
          <cell r="M173">
            <v>700.59</v>
          </cell>
          <cell r="N173">
            <v>0</v>
          </cell>
          <cell r="O173">
            <v>0</v>
          </cell>
          <cell r="P173">
            <v>4</v>
          </cell>
          <cell r="Q173">
            <v>130416</v>
          </cell>
        </row>
        <row r="174">
          <cell r="A174">
            <v>173</v>
          </cell>
          <cell r="B174" t="str">
            <v>Pg</v>
          </cell>
          <cell r="C174">
            <v>6</v>
          </cell>
          <cell r="D174">
            <v>30316</v>
          </cell>
          <cell r="E174">
            <v>130416</v>
          </cell>
          <cell r="F174" t="str">
            <v>For</v>
          </cell>
          <cell r="G174">
            <v>1388</v>
          </cell>
          <cell r="H174" t="str">
            <v>PRAFESTA IND E COM DE ART DE FESTA LTDA</v>
          </cell>
          <cell r="I174">
            <v>191138</v>
          </cell>
          <cell r="J174">
            <v>3</v>
          </cell>
          <cell r="K174">
            <v>3</v>
          </cell>
          <cell r="L174">
            <v>341</v>
          </cell>
          <cell r="M174">
            <v>496.14</v>
          </cell>
          <cell r="N174">
            <v>0</v>
          </cell>
          <cell r="O174">
            <v>0</v>
          </cell>
          <cell r="P174">
            <v>4</v>
          </cell>
          <cell r="Q174">
            <v>130416</v>
          </cell>
        </row>
        <row r="175">
          <cell r="A175">
            <v>174</v>
          </cell>
          <cell r="B175" t="str">
            <v>Pg</v>
          </cell>
          <cell r="C175">
            <v>1</v>
          </cell>
          <cell r="D175">
            <v>230316</v>
          </cell>
          <cell r="E175">
            <v>130416</v>
          </cell>
          <cell r="F175" t="str">
            <v>For</v>
          </cell>
          <cell r="G175">
            <v>2919</v>
          </cell>
          <cell r="H175" t="str">
            <v>INFOCO DISTRIBUIDORA E LOGISTICA LTDA.</v>
          </cell>
          <cell r="I175">
            <v>99344</v>
          </cell>
          <cell r="J175">
            <v>1</v>
          </cell>
          <cell r="K175">
            <v>1</v>
          </cell>
          <cell r="L175">
            <v>341</v>
          </cell>
          <cell r="M175">
            <v>2851.74</v>
          </cell>
          <cell r="N175">
            <v>0</v>
          </cell>
          <cell r="O175">
            <v>0</v>
          </cell>
          <cell r="P175">
            <v>4</v>
          </cell>
          <cell r="Q175">
            <v>130416</v>
          </cell>
        </row>
        <row r="176">
          <cell r="A176">
            <v>175</v>
          </cell>
          <cell r="B176" t="str">
            <v>Pg</v>
          </cell>
          <cell r="C176">
            <v>5</v>
          </cell>
          <cell r="D176">
            <v>230316</v>
          </cell>
          <cell r="E176">
            <v>130416</v>
          </cell>
          <cell r="F176" t="str">
            <v>For</v>
          </cell>
          <cell r="G176">
            <v>2919</v>
          </cell>
          <cell r="H176" t="str">
            <v>INFOCO DISTRIBUIDORA E LOGISTICA LTDA.</v>
          </cell>
          <cell r="I176">
            <v>99345</v>
          </cell>
          <cell r="J176">
            <v>1</v>
          </cell>
          <cell r="K176">
            <v>1</v>
          </cell>
          <cell r="L176">
            <v>341</v>
          </cell>
          <cell r="M176">
            <v>1662.07</v>
          </cell>
          <cell r="N176">
            <v>0</v>
          </cell>
          <cell r="O176">
            <v>0</v>
          </cell>
          <cell r="P176">
            <v>4</v>
          </cell>
          <cell r="Q176">
            <v>130416</v>
          </cell>
        </row>
        <row r="177">
          <cell r="A177">
            <v>176</v>
          </cell>
          <cell r="B177" t="str">
            <v>Pg</v>
          </cell>
          <cell r="C177">
            <v>3</v>
          </cell>
          <cell r="D177">
            <v>230316</v>
          </cell>
          <cell r="E177">
            <v>130416</v>
          </cell>
          <cell r="F177" t="str">
            <v>For</v>
          </cell>
          <cell r="G177">
            <v>2919</v>
          </cell>
          <cell r="H177" t="str">
            <v>INFOCO DISTRIBUIDORA E LOGISTICA LTDA.</v>
          </cell>
          <cell r="I177">
            <v>99287</v>
          </cell>
          <cell r="J177">
            <v>1</v>
          </cell>
          <cell r="K177">
            <v>1</v>
          </cell>
          <cell r="L177">
            <v>341</v>
          </cell>
          <cell r="M177">
            <v>2449.33</v>
          </cell>
          <cell r="N177">
            <v>0</v>
          </cell>
          <cell r="O177">
            <v>0</v>
          </cell>
          <cell r="P177">
            <v>4</v>
          </cell>
          <cell r="Q177">
            <v>130416</v>
          </cell>
        </row>
        <row r="178">
          <cell r="A178">
            <v>177</v>
          </cell>
          <cell r="B178" t="str">
            <v>Pg</v>
          </cell>
          <cell r="C178">
            <v>9</v>
          </cell>
          <cell r="D178">
            <v>230316</v>
          </cell>
          <cell r="E178">
            <v>130416</v>
          </cell>
          <cell r="F178" t="str">
            <v>For</v>
          </cell>
          <cell r="G178">
            <v>2917</v>
          </cell>
          <cell r="H178" t="str">
            <v>GESTAO DISTRIBUICAO E LOGISTICA LTDA</v>
          </cell>
          <cell r="I178">
            <v>21713</v>
          </cell>
          <cell r="J178">
            <v>1</v>
          </cell>
          <cell r="K178">
            <v>1</v>
          </cell>
          <cell r="L178">
            <v>341</v>
          </cell>
          <cell r="M178">
            <v>335.43</v>
          </cell>
          <cell r="N178">
            <v>0</v>
          </cell>
          <cell r="O178">
            <v>0</v>
          </cell>
          <cell r="P178">
            <v>4</v>
          </cell>
          <cell r="Q178">
            <v>130416</v>
          </cell>
        </row>
        <row r="179">
          <cell r="A179">
            <v>178</v>
          </cell>
          <cell r="B179" t="str">
            <v>Pg</v>
          </cell>
          <cell r="C179">
            <v>9</v>
          </cell>
          <cell r="D179">
            <v>230316</v>
          </cell>
          <cell r="E179">
            <v>130416</v>
          </cell>
          <cell r="F179" t="str">
            <v>For</v>
          </cell>
          <cell r="G179">
            <v>2919</v>
          </cell>
          <cell r="H179" t="str">
            <v>INFOCO DISTRIBUIDORA E LOGISTICA LTDA.</v>
          </cell>
          <cell r="I179">
            <v>99559</v>
          </cell>
          <cell r="J179">
            <v>1</v>
          </cell>
          <cell r="K179">
            <v>1</v>
          </cell>
          <cell r="L179">
            <v>341</v>
          </cell>
          <cell r="M179">
            <v>3053.81</v>
          </cell>
          <cell r="N179">
            <v>0</v>
          </cell>
          <cell r="O179">
            <v>0</v>
          </cell>
          <cell r="P179">
            <v>4</v>
          </cell>
          <cell r="Q179">
            <v>130416</v>
          </cell>
        </row>
        <row r="180">
          <cell r="A180">
            <v>179</v>
          </cell>
          <cell r="B180" t="str">
            <v>Pg</v>
          </cell>
          <cell r="C180">
            <v>6</v>
          </cell>
          <cell r="D180">
            <v>230316</v>
          </cell>
          <cell r="E180">
            <v>130416</v>
          </cell>
          <cell r="F180" t="str">
            <v>For</v>
          </cell>
          <cell r="G180">
            <v>1343</v>
          </cell>
          <cell r="H180" t="str">
            <v>ARTEFATOS DE MADEIRA STOLF LTDA</v>
          </cell>
          <cell r="I180">
            <v>38464</v>
          </cell>
          <cell r="J180">
            <v>1</v>
          </cell>
          <cell r="K180">
            <v>1</v>
          </cell>
          <cell r="L180">
            <v>999</v>
          </cell>
          <cell r="M180">
            <v>7800</v>
          </cell>
          <cell r="N180">
            <v>0</v>
          </cell>
          <cell r="O180">
            <v>0</v>
          </cell>
          <cell r="P180">
            <v>4</v>
          </cell>
          <cell r="Q180">
            <v>120416</v>
          </cell>
        </row>
        <row r="181">
          <cell r="A181">
            <v>180</v>
          </cell>
          <cell r="B181" t="str">
            <v>Pg</v>
          </cell>
          <cell r="C181">
            <v>6</v>
          </cell>
          <cell r="D181">
            <v>240316</v>
          </cell>
          <cell r="E181">
            <v>130416</v>
          </cell>
          <cell r="F181" t="str">
            <v>For</v>
          </cell>
          <cell r="G181">
            <v>168</v>
          </cell>
          <cell r="H181" t="str">
            <v>PLATANO BRASIL DISTR E EXP LTDA</v>
          </cell>
          <cell r="I181">
            <v>33420</v>
          </cell>
          <cell r="J181">
            <v>1</v>
          </cell>
          <cell r="K181">
            <v>1</v>
          </cell>
          <cell r="L181">
            <v>341</v>
          </cell>
          <cell r="M181">
            <v>48429.66</v>
          </cell>
          <cell r="N181">
            <v>0</v>
          </cell>
          <cell r="O181">
            <v>0</v>
          </cell>
          <cell r="P181">
            <v>4</v>
          </cell>
          <cell r="Q181">
            <v>130416</v>
          </cell>
        </row>
        <row r="182">
          <cell r="A182">
            <v>181</v>
          </cell>
          <cell r="B182" t="str">
            <v>Pg</v>
          </cell>
          <cell r="C182">
            <v>9</v>
          </cell>
          <cell r="D182">
            <v>280316</v>
          </cell>
          <cell r="E182">
            <v>130416</v>
          </cell>
          <cell r="F182" t="str">
            <v>For</v>
          </cell>
          <cell r="G182">
            <v>989</v>
          </cell>
          <cell r="H182" t="str">
            <v>MARITUCS ALIMENTOS LIMITADA</v>
          </cell>
          <cell r="I182">
            <v>137457</v>
          </cell>
          <cell r="J182">
            <v>1</v>
          </cell>
          <cell r="K182">
            <v>1</v>
          </cell>
          <cell r="L182">
            <v>341</v>
          </cell>
          <cell r="M182">
            <v>2215.35</v>
          </cell>
          <cell r="N182">
            <v>0</v>
          </cell>
          <cell r="O182">
            <v>0</v>
          </cell>
          <cell r="P182">
            <v>4</v>
          </cell>
          <cell r="Q182">
            <v>130416</v>
          </cell>
        </row>
        <row r="183">
          <cell r="A183">
            <v>182</v>
          </cell>
          <cell r="B183" t="str">
            <v>Pg</v>
          </cell>
          <cell r="C183">
            <v>1</v>
          </cell>
          <cell r="D183">
            <v>280316</v>
          </cell>
          <cell r="E183">
            <v>130416</v>
          </cell>
          <cell r="F183" t="str">
            <v>For</v>
          </cell>
          <cell r="G183">
            <v>989</v>
          </cell>
          <cell r="H183" t="str">
            <v>MARITUCS ALIMENTOS LIMITADA</v>
          </cell>
          <cell r="I183">
            <v>137462</v>
          </cell>
          <cell r="J183">
            <v>1</v>
          </cell>
          <cell r="K183">
            <v>1</v>
          </cell>
          <cell r="L183">
            <v>341</v>
          </cell>
          <cell r="M183">
            <v>7837.29</v>
          </cell>
          <cell r="N183">
            <v>0</v>
          </cell>
          <cell r="O183">
            <v>0</v>
          </cell>
          <cell r="P183">
            <v>4</v>
          </cell>
          <cell r="Q183">
            <v>130416</v>
          </cell>
        </row>
        <row r="184">
          <cell r="A184">
            <v>183</v>
          </cell>
          <cell r="B184" t="str">
            <v>Pg</v>
          </cell>
          <cell r="C184">
            <v>1</v>
          </cell>
          <cell r="D184">
            <v>60416</v>
          </cell>
          <cell r="E184">
            <v>130416</v>
          </cell>
          <cell r="F184" t="str">
            <v>For</v>
          </cell>
          <cell r="G184">
            <v>1278</v>
          </cell>
          <cell r="H184" t="str">
            <v>LUA NOVA IND.E COM.DE PROD.ALIMENT.LTDA.</v>
          </cell>
          <cell r="I184">
            <v>2323077</v>
          </cell>
          <cell r="J184">
            <v>1</v>
          </cell>
          <cell r="K184">
            <v>1</v>
          </cell>
          <cell r="L184">
            <v>341</v>
          </cell>
          <cell r="M184">
            <v>235.25</v>
          </cell>
          <cell r="N184">
            <v>0</v>
          </cell>
          <cell r="O184">
            <v>0</v>
          </cell>
          <cell r="P184">
            <v>4</v>
          </cell>
          <cell r="Q184">
            <v>130416</v>
          </cell>
        </row>
        <row r="185">
          <cell r="A185">
            <v>184</v>
          </cell>
          <cell r="B185" t="str">
            <v>Pg</v>
          </cell>
          <cell r="C185">
            <v>1</v>
          </cell>
          <cell r="D185">
            <v>60416</v>
          </cell>
          <cell r="E185">
            <v>130416</v>
          </cell>
          <cell r="F185" t="str">
            <v>For</v>
          </cell>
          <cell r="G185">
            <v>1278</v>
          </cell>
          <cell r="H185" t="str">
            <v>LUA NOVA IND.E COM.DE PROD.ALIMENT.LTDA.</v>
          </cell>
          <cell r="I185">
            <v>2323890</v>
          </cell>
          <cell r="J185">
            <v>1</v>
          </cell>
          <cell r="K185">
            <v>1</v>
          </cell>
          <cell r="L185">
            <v>341</v>
          </cell>
          <cell r="M185">
            <v>646.5</v>
          </cell>
          <cell r="N185">
            <v>0</v>
          </cell>
          <cell r="O185">
            <v>0</v>
          </cell>
          <cell r="P185">
            <v>4</v>
          </cell>
          <cell r="Q185">
            <v>130416</v>
          </cell>
        </row>
        <row r="186">
          <cell r="A186">
            <v>185</v>
          </cell>
          <cell r="B186" t="str">
            <v>Pg</v>
          </cell>
          <cell r="C186">
            <v>1</v>
          </cell>
          <cell r="D186">
            <v>60416</v>
          </cell>
          <cell r="E186">
            <v>130416</v>
          </cell>
          <cell r="F186" t="str">
            <v>For</v>
          </cell>
          <cell r="G186">
            <v>1278</v>
          </cell>
          <cell r="H186" t="str">
            <v>LUA NOVA IND.E COM.DE PROD.ALIMENT.LTDA.</v>
          </cell>
          <cell r="I186">
            <v>2323891</v>
          </cell>
          <cell r="J186">
            <v>1</v>
          </cell>
          <cell r="K186">
            <v>1</v>
          </cell>
          <cell r="L186">
            <v>341</v>
          </cell>
          <cell r="M186">
            <v>398.25</v>
          </cell>
          <cell r="N186">
            <v>0</v>
          </cell>
          <cell r="O186">
            <v>0</v>
          </cell>
          <cell r="P186">
            <v>4</v>
          </cell>
          <cell r="Q186">
            <v>130416</v>
          </cell>
        </row>
        <row r="187">
          <cell r="A187">
            <v>186</v>
          </cell>
          <cell r="B187" t="str">
            <v>Pg</v>
          </cell>
          <cell r="C187">
            <v>5</v>
          </cell>
          <cell r="D187">
            <v>60416</v>
          </cell>
          <cell r="E187">
            <v>130416</v>
          </cell>
          <cell r="F187" t="str">
            <v>For</v>
          </cell>
          <cell r="G187">
            <v>1278</v>
          </cell>
          <cell r="H187" t="str">
            <v>LUA NOVA IND.E COM.DE PROD.ALIMENT.LTDA.</v>
          </cell>
          <cell r="I187">
            <v>2323078</v>
          </cell>
          <cell r="J187">
            <v>1</v>
          </cell>
          <cell r="K187">
            <v>1</v>
          </cell>
          <cell r="L187">
            <v>341</v>
          </cell>
          <cell r="M187">
            <v>108.58</v>
          </cell>
          <cell r="N187">
            <v>0</v>
          </cell>
          <cell r="O187">
            <v>0</v>
          </cell>
          <cell r="P187">
            <v>4</v>
          </cell>
          <cell r="Q187">
            <v>130416</v>
          </cell>
        </row>
        <row r="188">
          <cell r="A188">
            <v>187</v>
          </cell>
          <cell r="B188" t="str">
            <v>Pg</v>
          </cell>
          <cell r="C188">
            <v>5</v>
          </cell>
          <cell r="D188">
            <v>60416</v>
          </cell>
          <cell r="E188">
            <v>130416</v>
          </cell>
          <cell r="F188" t="str">
            <v>For</v>
          </cell>
          <cell r="G188">
            <v>1278</v>
          </cell>
          <cell r="H188" t="str">
            <v>LUA NOVA IND.E COM.DE PROD.ALIMENT.LTDA.</v>
          </cell>
          <cell r="I188">
            <v>2323892</v>
          </cell>
          <cell r="J188">
            <v>1</v>
          </cell>
          <cell r="K188">
            <v>1</v>
          </cell>
          <cell r="L188">
            <v>341</v>
          </cell>
          <cell r="M188">
            <v>456.84</v>
          </cell>
          <cell r="N188">
            <v>0</v>
          </cell>
          <cell r="O188">
            <v>0</v>
          </cell>
          <cell r="P188">
            <v>4</v>
          </cell>
          <cell r="Q188">
            <v>130416</v>
          </cell>
        </row>
        <row r="189">
          <cell r="A189">
            <v>188</v>
          </cell>
          <cell r="B189" t="str">
            <v>Pg</v>
          </cell>
          <cell r="C189">
            <v>6</v>
          </cell>
          <cell r="D189">
            <v>70416</v>
          </cell>
          <cell r="E189">
            <v>130416</v>
          </cell>
          <cell r="F189" t="str">
            <v>For</v>
          </cell>
          <cell r="G189">
            <v>1791</v>
          </cell>
          <cell r="H189" t="str">
            <v>FABRICA DE TECIDOS STA MARGARIDA S.A</v>
          </cell>
          <cell r="I189">
            <v>45748</v>
          </cell>
          <cell r="J189">
            <v>1</v>
          </cell>
          <cell r="K189">
            <v>1</v>
          </cell>
          <cell r="L189">
            <v>341</v>
          </cell>
          <cell r="M189">
            <v>21500</v>
          </cell>
          <cell r="N189">
            <v>0</v>
          </cell>
          <cell r="O189">
            <v>0</v>
          </cell>
          <cell r="P189">
            <v>4</v>
          </cell>
          <cell r="Q189">
            <v>130416</v>
          </cell>
        </row>
        <row r="190">
          <cell r="A190">
            <v>189</v>
          </cell>
          <cell r="B190" t="str">
            <v>Pg</v>
          </cell>
          <cell r="C190">
            <v>8</v>
          </cell>
          <cell r="D190">
            <v>80416</v>
          </cell>
          <cell r="E190">
            <v>130416</v>
          </cell>
          <cell r="F190" t="str">
            <v>For</v>
          </cell>
          <cell r="G190">
            <v>1858</v>
          </cell>
          <cell r="H190" t="str">
            <v>MOLDUSACI FRABRICA DE PORTA RETRATOS LTDA</v>
          </cell>
          <cell r="I190">
            <v>1563</v>
          </cell>
          <cell r="J190">
            <v>1</v>
          </cell>
          <cell r="K190">
            <v>1</v>
          </cell>
          <cell r="L190">
            <v>341</v>
          </cell>
          <cell r="M190">
            <v>3905</v>
          </cell>
          <cell r="N190">
            <v>0</v>
          </cell>
          <cell r="O190">
            <v>0</v>
          </cell>
          <cell r="P190">
            <v>4</v>
          </cell>
          <cell r="Q190">
            <v>130416</v>
          </cell>
        </row>
        <row r="191">
          <cell r="A191">
            <v>190</v>
          </cell>
          <cell r="B191" t="str">
            <v>Pg</v>
          </cell>
          <cell r="C191">
            <v>1</v>
          </cell>
          <cell r="D191">
            <v>80416</v>
          </cell>
          <cell r="E191">
            <v>130416</v>
          </cell>
          <cell r="F191" t="str">
            <v>For</v>
          </cell>
          <cell r="G191">
            <v>1858</v>
          </cell>
          <cell r="H191" t="str">
            <v>MOLDUSACI FRABRICA DE PORTA RETRATOS LTDA</v>
          </cell>
          <cell r="I191">
            <v>1564</v>
          </cell>
          <cell r="J191">
            <v>1</v>
          </cell>
          <cell r="K191">
            <v>1</v>
          </cell>
          <cell r="L191">
            <v>341</v>
          </cell>
          <cell r="M191">
            <v>5541.5</v>
          </cell>
          <cell r="N191">
            <v>0</v>
          </cell>
          <cell r="O191">
            <v>0</v>
          </cell>
          <cell r="P191">
            <v>4</v>
          </cell>
          <cell r="Q191">
            <v>130416</v>
          </cell>
        </row>
        <row r="192">
          <cell r="A192">
            <v>191</v>
          </cell>
          <cell r="B192" t="str">
            <v>Pg</v>
          </cell>
          <cell r="C192">
            <v>5</v>
          </cell>
          <cell r="D192">
            <v>80416</v>
          </cell>
          <cell r="E192">
            <v>130416</v>
          </cell>
          <cell r="F192" t="str">
            <v>For</v>
          </cell>
          <cell r="G192">
            <v>1858</v>
          </cell>
          <cell r="H192" t="str">
            <v>MOLDUSACI FRABRICA DE PORTA RETRATOS LTDA</v>
          </cell>
          <cell r="I192">
            <v>1565</v>
          </cell>
          <cell r="J192">
            <v>1</v>
          </cell>
          <cell r="K192">
            <v>1</v>
          </cell>
          <cell r="L192">
            <v>341</v>
          </cell>
          <cell r="M192">
            <v>1936</v>
          </cell>
          <cell r="N192">
            <v>0</v>
          </cell>
          <cell r="O192">
            <v>0</v>
          </cell>
          <cell r="P192">
            <v>4</v>
          </cell>
          <cell r="Q192">
            <v>130416</v>
          </cell>
        </row>
        <row r="193">
          <cell r="A193">
            <v>192</v>
          </cell>
          <cell r="B193" t="str">
            <v>Pg</v>
          </cell>
          <cell r="C193">
            <v>9</v>
          </cell>
          <cell r="D193">
            <v>120416</v>
          </cell>
          <cell r="E193">
            <v>130416</v>
          </cell>
          <cell r="F193" t="str">
            <v>For</v>
          </cell>
          <cell r="G193">
            <v>2334</v>
          </cell>
          <cell r="H193" t="str">
            <v>EUNICE AFONSO PACHECO</v>
          </cell>
          <cell r="I193">
            <v>100</v>
          </cell>
          <cell r="J193">
            <v>1</v>
          </cell>
          <cell r="K193">
            <v>1</v>
          </cell>
          <cell r="L193">
            <v>341</v>
          </cell>
          <cell r="M193">
            <v>800</v>
          </cell>
          <cell r="N193">
            <v>0</v>
          </cell>
          <cell r="O193">
            <v>0</v>
          </cell>
          <cell r="P193">
            <v>14</v>
          </cell>
          <cell r="Q193">
            <v>130416</v>
          </cell>
        </row>
        <row r="194">
          <cell r="A194">
            <v>193</v>
          </cell>
          <cell r="B194" t="str">
            <v>Pg</v>
          </cell>
          <cell r="C194">
            <v>6</v>
          </cell>
          <cell r="D194">
            <v>120416</v>
          </cell>
          <cell r="E194">
            <v>130416</v>
          </cell>
          <cell r="F194" t="str">
            <v>For</v>
          </cell>
          <cell r="G194">
            <v>2095</v>
          </cell>
          <cell r="H194" t="str">
            <v>SILMARA ROSA DO CARMO MONTEIRO</v>
          </cell>
          <cell r="I194">
            <v>78</v>
          </cell>
          <cell r="J194">
            <v>1</v>
          </cell>
          <cell r="K194">
            <v>1</v>
          </cell>
          <cell r="L194">
            <v>341</v>
          </cell>
          <cell r="M194">
            <v>2175</v>
          </cell>
          <cell r="N194">
            <v>0</v>
          </cell>
          <cell r="O194">
            <v>0</v>
          </cell>
          <cell r="P194">
            <v>14</v>
          </cell>
          <cell r="Q194">
            <v>130416</v>
          </cell>
        </row>
        <row r="195">
          <cell r="A195">
            <v>194</v>
          </cell>
          <cell r="B195" t="str">
            <v>Pg</v>
          </cell>
          <cell r="C195">
            <v>6</v>
          </cell>
          <cell r="D195">
            <v>120416</v>
          </cell>
          <cell r="E195">
            <v>130416</v>
          </cell>
          <cell r="F195" t="str">
            <v>For</v>
          </cell>
          <cell r="G195">
            <v>2867</v>
          </cell>
          <cell r="H195" t="str">
            <v>BALLARIN PLASTICOS INDUSTRIA E COMERCIO EIRELI - ME</v>
          </cell>
          <cell r="I195">
            <v>1135</v>
          </cell>
          <cell r="J195">
            <v>1</v>
          </cell>
          <cell r="K195">
            <v>1</v>
          </cell>
          <cell r="L195">
            <v>237</v>
          </cell>
          <cell r="M195">
            <v>4770</v>
          </cell>
          <cell r="N195">
            <v>0</v>
          </cell>
          <cell r="O195">
            <v>0</v>
          </cell>
          <cell r="P195">
            <v>14</v>
          </cell>
          <cell r="Q195">
            <v>130416</v>
          </cell>
        </row>
        <row r="196">
          <cell r="A196">
            <v>195</v>
          </cell>
          <cell r="B196" t="str">
            <v>Pg</v>
          </cell>
          <cell r="C196">
            <v>6</v>
          </cell>
          <cell r="D196">
            <v>90316</v>
          </cell>
          <cell r="E196">
            <v>140416</v>
          </cell>
          <cell r="F196" t="str">
            <v>For</v>
          </cell>
          <cell r="G196">
            <v>2807</v>
          </cell>
          <cell r="H196" t="str">
            <v>COMERCIAL FARTEX - IMP. E EXP. DE ARTIGOS P/ PRES. LTDA</v>
          </cell>
          <cell r="I196">
            <v>4943</v>
          </cell>
          <cell r="J196">
            <v>2</v>
          </cell>
          <cell r="K196">
            <v>4</v>
          </cell>
          <cell r="L196">
            <v>999</v>
          </cell>
          <cell r="M196">
            <v>3588</v>
          </cell>
          <cell r="N196">
            <v>0</v>
          </cell>
          <cell r="O196">
            <v>0</v>
          </cell>
          <cell r="P196">
            <v>4</v>
          </cell>
          <cell r="Q196">
            <v>130416</v>
          </cell>
        </row>
        <row r="197">
          <cell r="A197">
            <v>196</v>
          </cell>
          <cell r="B197" t="str">
            <v>Pg</v>
          </cell>
          <cell r="C197">
            <v>6</v>
          </cell>
          <cell r="D197">
            <v>150316</v>
          </cell>
          <cell r="E197">
            <v>140416</v>
          </cell>
          <cell r="F197" t="str">
            <v>For</v>
          </cell>
          <cell r="G197">
            <v>2039</v>
          </cell>
          <cell r="H197" t="str">
            <v>MARINGA RODOS E ACESSORIOS PARA LIMPEZA LTDA</v>
          </cell>
          <cell r="I197">
            <v>1600</v>
          </cell>
          <cell r="J197">
            <v>1</v>
          </cell>
          <cell r="K197">
            <v>1</v>
          </cell>
          <cell r="L197">
            <v>341</v>
          </cell>
          <cell r="M197">
            <v>5800</v>
          </cell>
          <cell r="N197">
            <v>0</v>
          </cell>
          <cell r="O197">
            <v>0</v>
          </cell>
          <cell r="P197">
            <v>4</v>
          </cell>
          <cell r="Q197">
            <v>140416</v>
          </cell>
        </row>
        <row r="198">
          <cell r="A198">
            <v>197</v>
          </cell>
          <cell r="B198" t="str">
            <v>Pg</v>
          </cell>
          <cell r="C198">
            <v>6</v>
          </cell>
          <cell r="D198">
            <v>210316</v>
          </cell>
          <cell r="E198">
            <v>140416</v>
          </cell>
          <cell r="F198" t="str">
            <v>For</v>
          </cell>
          <cell r="G198">
            <v>1310</v>
          </cell>
          <cell r="H198" t="str">
            <v>EUROQUADROS IND IMP EXP LTDA</v>
          </cell>
          <cell r="I198">
            <v>54179</v>
          </cell>
          <cell r="J198">
            <v>1</v>
          </cell>
          <cell r="K198">
            <v>2</v>
          </cell>
          <cell r="L198">
            <v>341</v>
          </cell>
          <cell r="M198">
            <v>35711.65</v>
          </cell>
          <cell r="N198">
            <v>0</v>
          </cell>
          <cell r="O198">
            <v>0</v>
          </cell>
          <cell r="P198">
            <v>4</v>
          </cell>
          <cell r="Q198">
            <v>140416</v>
          </cell>
        </row>
        <row r="199">
          <cell r="A199">
            <v>198</v>
          </cell>
          <cell r="B199" t="str">
            <v>Pg</v>
          </cell>
          <cell r="C199">
            <v>6</v>
          </cell>
          <cell r="D199">
            <v>210316</v>
          </cell>
          <cell r="E199">
            <v>140416</v>
          </cell>
          <cell r="F199" t="str">
            <v>For</v>
          </cell>
          <cell r="G199">
            <v>2819</v>
          </cell>
          <cell r="H199" t="str">
            <v>FORT SOLUTIONS COM IMP EXP LTDA</v>
          </cell>
          <cell r="I199">
            <v>12269</v>
          </cell>
          <cell r="J199">
            <v>1</v>
          </cell>
          <cell r="K199">
            <v>4</v>
          </cell>
          <cell r="L199">
            <v>341</v>
          </cell>
          <cell r="M199">
            <v>2682.87</v>
          </cell>
          <cell r="N199">
            <v>0</v>
          </cell>
          <cell r="O199">
            <v>0</v>
          </cell>
          <cell r="P199">
            <v>4</v>
          </cell>
          <cell r="Q199">
            <v>140416</v>
          </cell>
        </row>
        <row r="200">
          <cell r="A200">
            <v>199</v>
          </cell>
          <cell r="B200" t="str">
            <v>Pg</v>
          </cell>
          <cell r="C200">
            <v>6</v>
          </cell>
          <cell r="D200">
            <v>310316</v>
          </cell>
          <cell r="E200">
            <v>140416</v>
          </cell>
          <cell r="F200" t="str">
            <v>For</v>
          </cell>
          <cell r="G200">
            <v>1962</v>
          </cell>
          <cell r="H200" t="str">
            <v>FILLER FER. E INJ.PLASTICA LTDA-EPP</v>
          </cell>
          <cell r="I200">
            <v>10587</v>
          </cell>
          <cell r="J200">
            <v>1</v>
          </cell>
          <cell r="K200">
            <v>1</v>
          </cell>
          <cell r="L200">
            <v>341</v>
          </cell>
          <cell r="M200">
            <v>6900</v>
          </cell>
          <cell r="N200">
            <v>0</v>
          </cell>
          <cell r="O200">
            <v>0</v>
          </cell>
          <cell r="P200">
            <v>4</v>
          </cell>
          <cell r="Q200">
            <v>140416</v>
          </cell>
        </row>
        <row r="201">
          <cell r="A201">
            <v>200</v>
          </cell>
          <cell r="B201" t="str">
            <v>Pg</v>
          </cell>
          <cell r="C201">
            <v>6</v>
          </cell>
          <cell r="D201">
            <v>310316</v>
          </cell>
          <cell r="E201">
            <v>140416</v>
          </cell>
          <cell r="F201" t="str">
            <v>For</v>
          </cell>
          <cell r="G201">
            <v>1269</v>
          </cell>
          <cell r="H201" t="str">
            <v>PLASTICOS SANTANA LTDA.</v>
          </cell>
          <cell r="I201">
            <v>74481</v>
          </cell>
          <cell r="J201">
            <v>1</v>
          </cell>
          <cell r="K201">
            <v>1</v>
          </cell>
          <cell r="L201">
            <v>341</v>
          </cell>
          <cell r="M201">
            <v>28635.57</v>
          </cell>
          <cell r="N201">
            <v>0</v>
          </cell>
          <cell r="O201">
            <v>0</v>
          </cell>
          <cell r="P201">
            <v>4</v>
          </cell>
          <cell r="Q201">
            <v>140416</v>
          </cell>
        </row>
        <row r="202">
          <cell r="A202">
            <v>201</v>
          </cell>
          <cell r="B202" t="str">
            <v>Pg</v>
          </cell>
          <cell r="C202">
            <v>8</v>
          </cell>
          <cell r="D202">
            <v>310316</v>
          </cell>
          <cell r="E202">
            <v>140416</v>
          </cell>
          <cell r="F202" t="str">
            <v>For</v>
          </cell>
          <cell r="G202">
            <v>1752</v>
          </cell>
          <cell r="H202" t="str">
            <v>TADEU DANTAS DE OLIVEIRA CONFECCAO - ME</v>
          </cell>
          <cell r="I202">
            <v>453</v>
          </cell>
          <cell r="J202">
            <v>1</v>
          </cell>
          <cell r="K202">
            <v>1</v>
          </cell>
          <cell r="L202">
            <v>341</v>
          </cell>
          <cell r="M202">
            <v>1185</v>
          </cell>
          <cell r="N202">
            <v>0</v>
          </cell>
          <cell r="O202">
            <v>0</v>
          </cell>
          <cell r="P202">
            <v>14</v>
          </cell>
          <cell r="Q202">
            <v>140416</v>
          </cell>
        </row>
        <row r="203">
          <cell r="A203">
            <v>202</v>
          </cell>
          <cell r="B203" t="str">
            <v>Pg</v>
          </cell>
          <cell r="C203">
            <v>5</v>
          </cell>
          <cell r="D203">
            <v>310316</v>
          </cell>
          <cell r="E203">
            <v>140416</v>
          </cell>
          <cell r="F203" t="str">
            <v>For</v>
          </cell>
          <cell r="G203">
            <v>1752</v>
          </cell>
          <cell r="H203" t="str">
            <v>TADEU DANTAS DE OLIVEIRA CONFECCAO - ME</v>
          </cell>
          <cell r="I203">
            <v>452</v>
          </cell>
          <cell r="J203">
            <v>1</v>
          </cell>
          <cell r="K203">
            <v>1</v>
          </cell>
          <cell r="L203">
            <v>341</v>
          </cell>
          <cell r="M203">
            <v>860</v>
          </cell>
          <cell r="N203">
            <v>0</v>
          </cell>
          <cell r="O203">
            <v>0</v>
          </cell>
          <cell r="P203">
            <v>14</v>
          </cell>
          <cell r="Q203">
            <v>140416</v>
          </cell>
        </row>
        <row r="204">
          <cell r="A204">
            <v>203</v>
          </cell>
          <cell r="B204" t="str">
            <v>Pg</v>
          </cell>
          <cell r="C204">
            <v>1</v>
          </cell>
          <cell r="D204">
            <v>310316</v>
          </cell>
          <cell r="E204">
            <v>140416</v>
          </cell>
          <cell r="F204" t="str">
            <v>For</v>
          </cell>
          <cell r="G204">
            <v>1752</v>
          </cell>
          <cell r="H204" t="str">
            <v>TADEU DANTAS DE OLIVEIRA CONFECCAO - ME</v>
          </cell>
          <cell r="I204">
            <v>454</v>
          </cell>
          <cell r="J204">
            <v>1</v>
          </cell>
          <cell r="K204">
            <v>1</v>
          </cell>
          <cell r="L204">
            <v>341</v>
          </cell>
          <cell r="M204">
            <v>2895</v>
          </cell>
          <cell r="N204">
            <v>0</v>
          </cell>
          <cell r="O204">
            <v>0</v>
          </cell>
          <cell r="P204">
            <v>14</v>
          </cell>
          <cell r="Q204">
            <v>140416</v>
          </cell>
        </row>
        <row r="205">
          <cell r="A205">
            <v>204</v>
          </cell>
          <cell r="B205" t="str">
            <v>Pg</v>
          </cell>
          <cell r="C205">
            <v>6</v>
          </cell>
          <cell r="D205">
            <v>50416</v>
          </cell>
          <cell r="E205">
            <v>140416</v>
          </cell>
          <cell r="F205" t="str">
            <v>For</v>
          </cell>
          <cell r="G205">
            <v>1238</v>
          </cell>
          <cell r="H205" t="str">
            <v>RAINHA IND E COM DE PLASTICOS LTDA</v>
          </cell>
          <cell r="I205">
            <v>74532</v>
          </cell>
          <cell r="J205">
            <v>1</v>
          </cell>
          <cell r="K205">
            <v>1</v>
          </cell>
          <cell r="L205">
            <v>341</v>
          </cell>
          <cell r="M205">
            <v>43222.23</v>
          </cell>
          <cell r="N205">
            <v>0</v>
          </cell>
          <cell r="O205">
            <v>0</v>
          </cell>
          <cell r="P205">
            <v>4</v>
          </cell>
          <cell r="Q205">
            <v>140416</v>
          </cell>
        </row>
        <row r="206">
          <cell r="A206">
            <v>205</v>
          </cell>
          <cell r="B206" t="str">
            <v>Pg</v>
          </cell>
          <cell r="C206">
            <v>5</v>
          </cell>
          <cell r="D206">
            <v>50416</v>
          </cell>
          <cell r="E206">
            <v>140416</v>
          </cell>
          <cell r="F206" t="str">
            <v>For</v>
          </cell>
          <cell r="G206">
            <v>989</v>
          </cell>
          <cell r="H206" t="str">
            <v>MARITUCS ALIMENTOS LIMITADA</v>
          </cell>
          <cell r="I206">
            <v>137496</v>
          </cell>
          <cell r="J206">
            <v>1</v>
          </cell>
          <cell r="K206">
            <v>1</v>
          </cell>
          <cell r="L206">
            <v>341</v>
          </cell>
          <cell r="M206">
            <v>2782.49</v>
          </cell>
          <cell r="N206">
            <v>0</v>
          </cell>
          <cell r="O206">
            <v>0</v>
          </cell>
          <cell r="P206">
            <v>4</v>
          </cell>
          <cell r="Q206">
            <v>140416</v>
          </cell>
        </row>
        <row r="207">
          <cell r="A207">
            <v>206</v>
          </cell>
          <cell r="B207" t="str">
            <v>Pg</v>
          </cell>
          <cell r="C207">
            <v>6</v>
          </cell>
          <cell r="D207">
            <v>50416</v>
          </cell>
          <cell r="E207">
            <v>140416</v>
          </cell>
          <cell r="F207" t="str">
            <v>For</v>
          </cell>
          <cell r="G207">
            <v>1479</v>
          </cell>
          <cell r="H207" t="str">
            <v>TRAMONTINA SUDESTE S.A.</v>
          </cell>
          <cell r="I207">
            <v>1007643</v>
          </cell>
          <cell r="J207">
            <v>1</v>
          </cell>
          <cell r="K207">
            <v>1</v>
          </cell>
          <cell r="L207">
            <v>341</v>
          </cell>
          <cell r="M207">
            <v>43915.74</v>
          </cell>
          <cell r="N207">
            <v>0</v>
          </cell>
          <cell r="O207">
            <v>0</v>
          </cell>
          <cell r="P207">
            <v>4</v>
          </cell>
          <cell r="Q207">
            <v>140416</v>
          </cell>
        </row>
        <row r="208">
          <cell r="A208">
            <v>207</v>
          </cell>
          <cell r="B208" t="str">
            <v>Pg</v>
          </cell>
          <cell r="C208">
            <v>6</v>
          </cell>
          <cell r="D208">
            <v>70416</v>
          </cell>
          <cell r="E208">
            <v>140416</v>
          </cell>
          <cell r="F208" t="str">
            <v>For</v>
          </cell>
          <cell r="G208">
            <v>1533</v>
          </cell>
          <cell r="H208" t="str">
            <v>TRAMONTINA S/A CUTELARIA</v>
          </cell>
          <cell r="I208">
            <v>329012</v>
          </cell>
          <cell r="J208">
            <v>1</v>
          </cell>
          <cell r="K208">
            <v>1</v>
          </cell>
          <cell r="L208">
            <v>341</v>
          </cell>
          <cell r="M208">
            <v>9587.65</v>
          </cell>
          <cell r="N208">
            <v>-150.71</v>
          </cell>
          <cell r="O208">
            <v>0</v>
          </cell>
          <cell r="P208">
            <v>4</v>
          </cell>
          <cell r="Q208">
            <v>140416</v>
          </cell>
        </row>
        <row r="209">
          <cell r="A209">
            <v>208</v>
          </cell>
          <cell r="B209" t="str">
            <v>Pg</v>
          </cell>
          <cell r="C209">
            <v>6</v>
          </cell>
          <cell r="D209">
            <v>70416</v>
          </cell>
          <cell r="E209">
            <v>140416</v>
          </cell>
          <cell r="F209" t="str">
            <v>For</v>
          </cell>
          <cell r="G209">
            <v>1479</v>
          </cell>
          <cell r="H209" t="str">
            <v>TRAMONTINA SUDESTE S.A.</v>
          </cell>
          <cell r="I209">
            <v>1007774</v>
          </cell>
          <cell r="J209">
            <v>1</v>
          </cell>
          <cell r="K209">
            <v>1</v>
          </cell>
          <cell r="L209">
            <v>341</v>
          </cell>
          <cell r="M209">
            <v>26932.05</v>
          </cell>
          <cell r="N209">
            <v>0</v>
          </cell>
          <cell r="O209">
            <v>0</v>
          </cell>
          <cell r="P209">
            <v>4</v>
          </cell>
          <cell r="Q209">
            <v>140416</v>
          </cell>
        </row>
        <row r="210">
          <cell r="A210">
            <v>209</v>
          </cell>
          <cell r="B210" t="str">
            <v>Pg</v>
          </cell>
          <cell r="C210">
            <v>1</v>
          </cell>
          <cell r="D210">
            <v>80416</v>
          </cell>
          <cell r="E210">
            <v>140416</v>
          </cell>
          <cell r="F210" t="str">
            <v>For</v>
          </cell>
          <cell r="G210">
            <v>2977</v>
          </cell>
          <cell r="H210" t="str">
            <v>ALL 7 ATACADISTA DE COSMETICOS EIRELI</v>
          </cell>
          <cell r="I210">
            <v>25</v>
          </cell>
          <cell r="J210">
            <v>1</v>
          </cell>
          <cell r="K210">
            <v>1</v>
          </cell>
          <cell r="L210">
            <v>341</v>
          </cell>
          <cell r="M210">
            <v>2788.64</v>
          </cell>
          <cell r="N210">
            <v>0</v>
          </cell>
          <cell r="O210">
            <v>0</v>
          </cell>
          <cell r="P210">
            <v>4</v>
          </cell>
          <cell r="Q210">
            <v>140416</v>
          </cell>
        </row>
        <row r="211">
          <cell r="A211">
            <v>210</v>
          </cell>
          <cell r="B211" t="str">
            <v>Pg</v>
          </cell>
          <cell r="C211">
            <v>1</v>
          </cell>
          <cell r="D211">
            <v>80416</v>
          </cell>
          <cell r="E211">
            <v>140416</v>
          </cell>
          <cell r="F211" t="str">
            <v>For</v>
          </cell>
          <cell r="G211">
            <v>2977</v>
          </cell>
          <cell r="H211" t="str">
            <v>ALL 7 ATACADISTA DE COSMETICOS EIRELI</v>
          </cell>
          <cell r="I211">
            <v>30</v>
          </cell>
          <cell r="J211">
            <v>1</v>
          </cell>
          <cell r="K211">
            <v>1</v>
          </cell>
          <cell r="L211">
            <v>341</v>
          </cell>
          <cell r="M211">
            <v>2457.36</v>
          </cell>
          <cell r="N211">
            <v>0</v>
          </cell>
          <cell r="O211">
            <v>0</v>
          </cell>
          <cell r="P211">
            <v>4</v>
          </cell>
          <cell r="Q211">
            <v>140416</v>
          </cell>
        </row>
        <row r="212">
          <cell r="A212">
            <v>211</v>
          </cell>
          <cell r="B212" t="str">
            <v>Pg</v>
          </cell>
          <cell r="C212">
            <v>3</v>
          </cell>
          <cell r="D212">
            <v>80416</v>
          </cell>
          <cell r="E212">
            <v>140416</v>
          </cell>
          <cell r="F212" t="str">
            <v>For</v>
          </cell>
          <cell r="G212">
            <v>2977</v>
          </cell>
          <cell r="H212" t="str">
            <v>ALL 7 ATACADISTA DE COSMETICOS EIRELI</v>
          </cell>
          <cell r="I212">
            <v>31</v>
          </cell>
          <cell r="J212">
            <v>1</v>
          </cell>
          <cell r="K212">
            <v>1</v>
          </cell>
          <cell r="L212">
            <v>341</v>
          </cell>
          <cell r="M212">
            <v>852.2</v>
          </cell>
          <cell r="N212">
            <v>0</v>
          </cell>
          <cell r="O212">
            <v>0</v>
          </cell>
          <cell r="P212">
            <v>4</v>
          </cell>
          <cell r="Q212">
            <v>140416</v>
          </cell>
        </row>
        <row r="213">
          <cell r="A213">
            <v>212</v>
          </cell>
          <cell r="B213" t="str">
            <v>Pg</v>
          </cell>
          <cell r="C213">
            <v>3</v>
          </cell>
          <cell r="D213">
            <v>80416</v>
          </cell>
          <cell r="E213">
            <v>140416</v>
          </cell>
          <cell r="F213" t="str">
            <v>For</v>
          </cell>
          <cell r="G213">
            <v>2977</v>
          </cell>
          <cell r="H213" t="str">
            <v>ALL 7 ATACADISTA DE COSMETICOS EIRELI</v>
          </cell>
          <cell r="I213">
            <v>36</v>
          </cell>
          <cell r="J213">
            <v>1</v>
          </cell>
          <cell r="K213">
            <v>1</v>
          </cell>
          <cell r="L213">
            <v>341</v>
          </cell>
          <cell r="M213">
            <v>2382.7800000000002</v>
          </cell>
          <cell r="N213">
            <v>0</v>
          </cell>
          <cell r="O213">
            <v>0</v>
          </cell>
          <cell r="P213">
            <v>4</v>
          </cell>
          <cell r="Q213">
            <v>140416</v>
          </cell>
        </row>
        <row r="214">
          <cell r="A214">
            <v>213</v>
          </cell>
          <cell r="B214" t="str">
            <v>Pg</v>
          </cell>
          <cell r="C214">
            <v>9</v>
          </cell>
          <cell r="D214">
            <v>80416</v>
          </cell>
          <cell r="E214">
            <v>140416</v>
          </cell>
          <cell r="F214" t="str">
            <v>For</v>
          </cell>
          <cell r="G214">
            <v>2977</v>
          </cell>
          <cell r="H214" t="str">
            <v>ALL 7 ATACADISTA DE COSMETICOS EIRELI</v>
          </cell>
          <cell r="I214">
            <v>32</v>
          </cell>
          <cell r="J214">
            <v>1</v>
          </cell>
          <cell r="K214">
            <v>1</v>
          </cell>
          <cell r="L214">
            <v>341</v>
          </cell>
          <cell r="M214">
            <v>1100.4000000000001</v>
          </cell>
          <cell r="N214">
            <v>0</v>
          </cell>
          <cell r="O214">
            <v>0</v>
          </cell>
          <cell r="P214">
            <v>4</v>
          </cell>
          <cell r="Q214">
            <v>140416</v>
          </cell>
        </row>
        <row r="215">
          <cell r="A215">
            <v>214</v>
          </cell>
          <cell r="B215" t="str">
            <v>Pg</v>
          </cell>
          <cell r="C215">
            <v>9</v>
          </cell>
          <cell r="D215">
            <v>80416</v>
          </cell>
          <cell r="E215">
            <v>140416</v>
          </cell>
          <cell r="F215" t="str">
            <v>For</v>
          </cell>
          <cell r="G215">
            <v>2977</v>
          </cell>
          <cell r="H215" t="str">
            <v>ALL 7 ATACADISTA DE COSMETICOS EIRELI</v>
          </cell>
          <cell r="I215">
            <v>26</v>
          </cell>
          <cell r="J215">
            <v>1</v>
          </cell>
          <cell r="K215">
            <v>1</v>
          </cell>
          <cell r="L215">
            <v>341</v>
          </cell>
          <cell r="M215">
            <v>2273.4299999999998</v>
          </cell>
          <cell r="N215">
            <v>0</v>
          </cell>
          <cell r="O215">
            <v>0</v>
          </cell>
          <cell r="P215">
            <v>4</v>
          </cell>
          <cell r="Q215">
            <v>140416</v>
          </cell>
        </row>
        <row r="216">
          <cell r="A216">
            <v>215</v>
          </cell>
          <cell r="B216" t="str">
            <v>Pg</v>
          </cell>
          <cell r="C216">
            <v>6</v>
          </cell>
          <cell r="D216">
            <v>110416</v>
          </cell>
          <cell r="E216">
            <v>140416</v>
          </cell>
          <cell r="F216" t="str">
            <v>For</v>
          </cell>
          <cell r="G216">
            <v>2633</v>
          </cell>
          <cell r="H216" t="str">
            <v>ORDENE S/A</v>
          </cell>
          <cell r="I216">
            <v>8460</v>
          </cell>
          <cell r="J216">
            <v>1</v>
          </cell>
          <cell r="K216">
            <v>1</v>
          </cell>
          <cell r="L216">
            <v>341</v>
          </cell>
          <cell r="M216">
            <v>57371.09</v>
          </cell>
          <cell r="N216">
            <v>0</v>
          </cell>
          <cell r="O216">
            <v>0</v>
          </cell>
          <cell r="P216">
            <v>4</v>
          </cell>
          <cell r="Q216">
            <v>140416</v>
          </cell>
        </row>
        <row r="217">
          <cell r="A217">
            <v>216</v>
          </cell>
          <cell r="B217" t="str">
            <v>Pg</v>
          </cell>
          <cell r="C217">
            <v>6</v>
          </cell>
          <cell r="D217">
            <v>120416</v>
          </cell>
          <cell r="E217">
            <v>140416</v>
          </cell>
          <cell r="F217" t="str">
            <v>For</v>
          </cell>
          <cell r="G217">
            <v>2096</v>
          </cell>
          <cell r="H217" t="str">
            <v>M. DIAS BRANCO S.A. INDUSTRIA E COM DE ALIMENTOS</v>
          </cell>
          <cell r="I217">
            <v>194239</v>
          </cell>
          <cell r="J217">
            <v>1</v>
          </cell>
          <cell r="K217">
            <v>1</v>
          </cell>
          <cell r="L217">
            <v>341</v>
          </cell>
          <cell r="M217">
            <v>1662.65</v>
          </cell>
          <cell r="N217">
            <v>0</v>
          </cell>
          <cell r="O217">
            <v>0</v>
          </cell>
          <cell r="P217">
            <v>4</v>
          </cell>
          <cell r="Q217">
            <v>140416</v>
          </cell>
        </row>
        <row r="218">
          <cell r="A218">
            <v>217</v>
          </cell>
          <cell r="B218" t="str">
            <v>Pg</v>
          </cell>
          <cell r="C218">
            <v>6</v>
          </cell>
          <cell r="D218">
            <v>120416</v>
          </cell>
          <cell r="E218">
            <v>140416</v>
          </cell>
          <cell r="F218" t="str">
            <v>For</v>
          </cell>
          <cell r="G218">
            <v>2096</v>
          </cell>
          <cell r="H218" t="str">
            <v>M. DIAS BRANCO S.A. INDUSTRIA E COM DE ALIMENTOS</v>
          </cell>
          <cell r="I218">
            <v>194250</v>
          </cell>
          <cell r="J218">
            <v>1</v>
          </cell>
          <cell r="K218">
            <v>1</v>
          </cell>
          <cell r="L218">
            <v>341</v>
          </cell>
          <cell r="M218">
            <v>5268.45</v>
          </cell>
          <cell r="N218">
            <v>0</v>
          </cell>
          <cell r="O218">
            <v>0</v>
          </cell>
          <cell r="P218">
            <v>4</v>
          </cell>
          <cell r="Q218">
            <v>140416</v>
          </cell>
        </row>
        <row r="219">
          <cell r="A219">
            <v>218</v>
          </cell>
          <cell r="B219" t="str">
            <v>Pg</v>
          </cell>
          <cell r="C219">
            <v>6</v>
          </cell>
          <cell r="D219">
            <v>150915</v>
          </cell>
          <cell r="E219">
            <v>150416</v>
          </cell>
          <cell r="F219" t="str">
            <v>For</v>
          </cell>
          <cell r="G219">
            <v>1423</v>
          </cell>
          <cell r="H219" t="str">
            <v>A.W. FABER-CASTELL S.A.</v>
          </cell>
          <cell r="I219">
            <v>349776</v>
          </cell>
          <cell r="J219">
            <v>4</v>
          </cell>
          <cell r="K219">
            <v>5</v>
          </cell>
          <cell r="L219">
            <v>341</v>
          </cell>
          <cell r="M219">
            <v>11934.86</v>
          </cell>
          <cell r="N219">
            <v>0</v>
          </cell>
          <cell r="O219">
            <v>0</v>
          </cell>
          <cell r="P219">
            <v>4</v>
          </cell>
          <cell r="Q219">
            <v>150416</v>
          </cell>
        </row>
        <row r="220">
          <cell r="A220">
            <v>219</v>
          </cell>
          <cell r="B220" t="str">
            <v>Pg</v>
          </cell>
          <cell r="C220">
            <v>10</v>
          </cell>
          <cell r="D220">
            <v>150915</v>
          </cell>
          <cell r="E220">
            <v>150416</v>
          </cell>
          <cell r="F220" t="str">
            <v>For</v>
          </cell>
          <cell r="G220">
            <v>1423</v>
          </cell>
          <cell r="H220" t="str">
            <v>A.W. FABER-CASTELL S.A.</v>
          </cell>
          <cell r="I220">
            <v>349779</v>
          </cell>
          <cell r="J220">
            <v>4</v>
          </cell>
          <cell r="K220">
            <v>5</v>
          </cell>
          <cell r="L220">
            <v>341</v>
          </cell>
          <cell r="M220">
            <v>53629.36</v>
          </cell>
          <cell r="N220">
            <v>0</v>
          </cell>
          <cell r="O220">
            <v>0</v>
          </cell>
          <cell r="P220">
            <v>4</v>
          </cell>
          <cell r="Q220">
            <v>150416</v>
          </cell>
        </row>
        <row r="221">
          <cell r="A221">
            <v>220</v>
          </cell>
          <cell r="B221" t="str">
            <v>Pg</v>
          </cell>
          <cell r="C221">
            <v>10</v>
          </cell>
          <cell r="D221">
            <v>150116</v>
          </cell>
          <cell r="E221">
            <v>150416</v>
          </cell>
          <cell r="F221" t="str">
            <v>For</v>
          </cell>
          <cell r="G221">
            <v>1423</v>
          </cell>
          <cell r="H221" t="str">
            <v>A.W. FABER-CASTELL S.A.</v>
          </cell>
          <cell r="I221">
            <v>375624</v>
          </cell>
          <cell r="J221">
            <v>3</v>
          </cell>
          <cell r="K221">
            <v>3</v>
          </cell>
          <cell r="L221">
            <v>341</v>
          </cell>
          <cell r="M221">
            <v>6620.56</v>
          </cell>
          <cell r="N221">
            <v>0</v>
          </cell>
          <cell r="O221">
            <v>0</v>
          </cell>
          <cell r="P221">
            <v>4</v>
          </cell>
          <cell r="Q221">
            <v>150416</v>
          </cell>
        </row>
        <row r="222">
          <cell r="A222">
            <v>221</v>
          </cell>
          <cell r="B222" t="str">
            <v>Pg</v>
          </cell>
          <cell r="C222">
            <v>10</v>
          </cell>
          <cell r="D222">
            <v>230216</v>
          </cell>
          <cell r="E222">
            <v>150416</v>
          </cell>
          <cell r="F222" t="str">
            <v>For</v>
          </cell>
          <cell r="G222">
            <v>1423</v>
          </cell>
          <cell r="H222" t="str">
            <v>A.W. FABER-CASTELL S.A.</v>
          </cell>
          <cell r="I222">
            <v>382843</v>
          </cell>
          <cell r="J222">
            <v>2</v>
          </cell>
          <cell r="K222">
            <v>3</v>
          </cell>
          <cell r="L222">
            <v>341</v>
          </cell>
          <cell r="M222">
            <v>365.49</v>
          </cell>
          <cell r="N222">
            <v>0</v>
          </cell>
          <cell r="O222">
            <v>0</v>
          </cell>
          <cell r="P222">
            <v>4</v>
          </cell>
          <cell r="Q222">
            <v>150416</v>
          </cell>
        </row>
        <row r="223">
          <cell r="A223">
            <v>222</v>
          </cell>
          <cell r="B223" t="str">
            <v>Pg</v>
          </cell>
          <cell r="C223">
            <v>6</v>
          </cell>
          <cell r="D223">
            <v>170316</v>
          </cell>
          <cell r="E223">
            <v>150416</v>
          </cell>
          <cell r="F223" t="str">
            <v>For</v>
          </cell>
          <cell r="G223">
            <v>2697</v>
          </cell>
          <cell r="H223" t="str">
            <v>CRYSTALGLASSES INDUSTRIA E COMERCIO DE VIDROS LTDA - EPP</v>
          </cell>
          <cell r="I223">
            <v>14913</v>
          </cell>
          <cell r="J223">
            <v>1</v>
          </cell>
          <cell r="K223">
            <v>1</v>
          </cell>
          <cell r="L223">
            <v>341</v>
          </cell>
          <cell r="M223">
            <v>6597.43</v>
          </cell>
          <cell r="N223">
            <v>0</v>
          </cell>
          <cell r="O223">
            <v>0</v>
          </cell>
          <cell r="P223">
            <v>4</v>
          </cell>
          <cell r="Q223">
            <v>150416</v>
          </cell>
        </row>
        <row r="224">
          <cell r="A224">
            <v>223</v>
          </cell>
          <cell r="B224" t="str">
            <v>Pg</v>
          </cell>
          <cell r="C224">
            <v>3</v>
          </cell>
          <cell r="D224">
            <v>180316</v>
          </cell>
          <cell r="E224">
            <v>150416</v>
          </cell>
          <cell r="F224" t="str">
            <v>For</v>
          </cell>
          <cell r="G224">
            <v>2316</v>
          </cell>
          <cell r="H224" t="str">
            <v>NOVA CAMPINAS DISTRIBUIDORA DE ALIMENTOS LTDA</v>
          </cell>
          <cell r="I224">
            <v>289607</v>
          </cell>
          <cell r="J224">
            <v>1</v>
          </cell>
          <cell r="K224">
            <v>2</v>
          </cell>
          <cell r="L224">
            <v>341</v>
          </cell>
          <cell r="M224">
            <v>1695</v>
          </cell>
          <cell r="N224">
            <v>0</v>
          </cell>
          <cell r="O224">
            <v>0</v>
          </cell>
          <cell r="P224">
            <v>4</v>
          </cell>
          <cell r="Q224">
            <v>150416</v>
          </cell>
        </row>
        <row r="225">
          <cell r="A225">
            <v>224</v>
          </cell>
          <cell r="B225" t="str">
            <v>Pg</v>
          </cell>
          <cell r="C225">
            <v>1</v>
          </cell>
          <cell r="D225">
            <v>180316</v>
          </cell>
          <cell r="E225">
            <v>150416</v>
          </cell>
          <cell r="F225" t="str">
            <v>For</v>
          </cell>
          <cell r="G225">
            <v>2316</v>
          </cell>
          <cell r="H225" t="str">
            <v>NOVA CAMPINAS DISTRIBUIDORA DE ALIMENTOS LTDA</v>
          </cell>
          <cell r="I225">
            <v>289504</v>
          </cell>
          <cell r="J225">
            <v>1</v>
          </cell>
          <cell r="K225">
            <v>2</v>
          </cell>
          <cell r="L225">
            <v>341</v>
          </cell>
          <cell r="M225">
            <v>1533</v>
          </cell>
          <cell r="N225">
            <v>0</v>
          </cell>
          <cell r="O225">
            <v>0</v>
          </cell>
          <cell r="P225">
            <v>4</v>
          </cell>
          <cell r="Q225">
            <v>150416</v>
          </cell>
        </row>
        <row r="226">
          <cell r="A226">
            <v>225</v>
          </cell>
          <cell r="B226" t="str">
            <v>Pg</v>
          </cell>
          <cell r="C226">
            <v>5</v>
          </cell>
          <cell r="D226">
            <v>180316</v>
          </cell>
          <cell r="E226">
            <v>150416</v>
          </cell>
          <cell r="F226" t="str">
            <v>For</v>
          </cell>
          <cell r="G226">
            <v>2316</v>
          </cell>
          <cell r="H226" t="str">
            <v>NOVA CAMPINAS DISTRIBUIDORA DE ALIMENTOS LTDA</v>
          </cell>
          <cell r="I226">
            <v>289505</v>
          </cell>
          <cell r="J226">
            <v>1</v>
          </cell>
          <cell r="K226">
            <v>2</v>
          </cell>
          <cell r="L226">
            <v>341</v>
          </cell>
          <cell r="M226">
            <v>1570.5</v>
          </cell>
          <cell r="N226">
            <v>0</v>
          </cell>
          <cell r="O226">
            <v>0</v>
          </cell>
          <cell r="P226">
            <v>4</v>
          </cell>
          <cell r="Q226">
            <v>150416</v>
          </cell>
        </row>
        <row r="227">
          <cell r="A227">
            <v>226</v>
          </cell>
          <cell r="B227" t="str">
            <v>Pg</v>
          </cell>
          <cell r="C227">
            <v>6</v>
          </cell>
          <cell r="D227">
            <v>230316</v>
          </cell>
          <cell r="E227">
            <v>150416</v>
          </cell>
          <cell r="F227" t="str">
            <v>For</v>
          </cell>
          <cell r="G227">
            <v>2811</v>
          </cell>
          <cell r="H227" t="str">
            <v>LEDO RJ COMERCIO IMPORTACAO E EXPORTACAO LTDA</v>
          </cell>
          <cell r="I227">
            <v>4342</v>
          </cell>
          <cell r="J227">
            <v>1</v>
          </cell>
          <cell r="K227">
            <v>1</v>
          </cell>
          <cell r="L227">
            <v>341</v>
          </cell>
          <cell r="M227">
            <v>9667.44</v>
          </cell>
          <cell r="N227">
            <v>0</v>
          </cell>
          <cell r="O227">
            <v>0</v>
          </cell>
          <cell r="P227">
            <v>4</v>
          </cell>
          <cell r="Q227">
            <v>150416</v>
          </cell>
        </row>
        <row r="228">
          <cell r="A228">
            <v>227</v>
          </cell>
          <cell r="B228" t="str">
            <v>Pg</v>
          </cell>
          <cell r="C228">
            <v>9</v>
          </cell>
          <cell r="D228">
            <v>240316</v>
          </cell>
          <cell r="E228">
            <v>150416</v>
          </cell>
          <cell r="F228" t="str">
            <v>For</v>
          </cell>
          <cell r="G228">
            <v>2316</v>
          </cell>
          <cell r="H228" t="str">
            <v>NOVA CAMPINAS DISTRIBUIDORA DE ALIMENTOS LTDA</v>
          </cell>
          <cell r="I228">
            <v>289772</v>
          </cell>
          <cell r="J228">
            <v>1</v>
          </cell>
          <cell r="K228">
            <v>2</v>
          </cell>
          <cell r="L228">
            <v>341</v>
          </cell>
          <cell r="M228">
            <v>523.5</v>
          </cell>
          <cell r="N228">
            <v>0</v>
          </cell>
          <cell r="O228">
            <v>0</v>
          </cell>
          <cell r="P228">
            <v>4</v>
          </cell>
          <cell r="Q228">
            <v>150416</v>
          </cell>
        </row>
        <row r="229">
          <cell r="A229">
            <v>228</v>
          </cell>
          <cell r="B229" t="str">
            <v>Pg</v>
          </cell>
          <cell r="C229">
            <v>6</v>
          </cell>
          <cell r="D229">
            <v>280316</v>
          </cell>
          <cell r="E229">
            <v>150416</v>
          </cell>
          <cell r="F229" t="str">
            <v>For</v>
          </cell>
          <cell r="G229">
            <v>2176</v>
          </cell>
          <cell r="H229" t="str">
            <v>ATB INDUSTRIA E COMERCIO DE ADESIVOS LTDA</v>
          </cell>
          <cell r="I229">
            <v>127386</v>
          </cell>
          <cell r="J229">
            <v>1</v>
          </cell>
          <cell r="K229">
            <v>2</v>
          </cell>
          <cell r="L229">
            <v>999</v>
          </cell>
          <cell r="M229">
            <v>5265.6</v>
          </cell>
          <cell r="N229">
            <v>0</v>
          </cell>
          <cell r="O229">
            <v>0</v>
          </cell>
          <cell r="P229">
            <v>4</v>
          </cell>
          <cell r="Q229">
            <v>140416</v>
          </cell>
        </row>
        <row r="230">
          <cell r="A230">
            <v>229</v>
          </cell>
          <cell r="B230" t="str">
            <v>Pg</v>
          </cell>
          <cell r="C230">
            <v>6</v>
          </cell>
          <cell r="D230">
            <v>310316</v>
          </cell>
          <cell r="E230">
            <v>150416</v>
          </cell>
          <cell r="F230" t="str">
            <v>For</v>
          </cell>
          <cell r="G230">
            <v>2460</v>
          </cell>
          <cell r="H230" t="str">
            <v>EBM DISTRIBUICAO E LOGISTICA LTDA</v>
          </cell>
          <cell r="I230">
            <v>4229</v>
          </cell>
          <cell r="J230">
            <v>1</v>
          </cell>
          <cell r="K230">
            <v>1</v>
          </cell>
          <cell r="L230">
            <v>341</v>
          </cell>
          <cell r="M230">
            <v>18702.400000000001</v>
          </cell>
          <cell r="N230">
            <v>0</v>
          </cell>
          <cell r="O230">
            <v>0</v>
          </cell>
          <cell r="P230">
            <v>4</v>
          </cell>
          <cell r="Q230">
            <v>150416</v>
          </cell>
        </row>
        <row r="231">
          <cell r="A231">
            <v>230</v>
          </cell>
          <cell r="B231" t="str">
            <v>Pg</v>
          </cell>
          <cell r="C231">
            <v>1</v>
          </cell>
          <cell r="D231">
            <v>60416</v>
          </cell>
          <cell r="E231">
            <v>150416</v>
          </cell>
          <cell r="F231" t="str">
            <v>For</v>
          </cell>
          <cell r="G231">
            <v>1650</v>
          </cell>
          <cell r="H231" t="str">
            <v>FIFOS IND. E COM. DE PRODUTOS ALIM. LTDA EPP</v>
          </cell>
          <cell r="I231">
            <v>25963</v>
          </cell>
          <cell r="J231">
            <v>1</v>
          </cell>
          <cell r="K231">
            <v>1</v>
          </cell>
          <cell r="L231">
            <v>341</v>
          </cell>
          <cell r="M231">
            <v>938.95</v>
          </cell>
          <cell r="N231">
            <v>0</v>
          </cell>
          <cell r="O231">
            <v>0</v>
          </cell>
          <cell r="P231">
            <v>4</v>
          </cell>
          <cell r="Q231">
            <v>150416</v>
          </cell>
        </row>
        <row r="232">
          <cell r="A232">
            <v>231</v>
          </cell>
          <cell r="B232" t="str">
            <v>Pg</v>
          </cell>
          <cell r="C232">
            <v>5</v>
          </cell>
          <cell r="D232">
            <v>60416</v>
          </cell>
          <cell r="E232">
            <v>150416</v>
          </cell>
          <cell r="F232" t="str">
            <v>For</v>
          </cell>
          <cell r="G232">
            <v>1650</v>
          </cell>
          <cell r="H232" t="str">
            <v>FIFOS IND. E COM. DE PRODUTOS ALIM. LTDA EPP</v>
          </cell>
          <cell r="I232">
            <v>25964</v>
          </cell>
          <cell r="J232">
            <v>1</v>
          </cell>
          <cell r="K232">
            <v>1</v>
          </cell>
          <cell r="L232">
            <v>341</v>
          </cell>
          <cell r="M232">
            <v>933.44</v>
          </cell>
          <cell r="N232">
            <v>0</v>
          </cell>
          <cell r="O232">
            <v>0</v>
          </cell>
          <cell r="P232">
            <v>4</v>
          </cell>
          <cell r="Q232">
            <v>150416</v>
          </cell>
        </row>
        <row r="233">
          <cell r="A233">
            <v>232</v>
          </cell>
          <cell r="B233" t="str">
            <v>Pg</v>
          </cell>
          <cell r="C233">
            <v>6</v>
          </cell>
          <cell r="D233">
            <v>80416</v>
          </cell>
          <cell r="E233">
            <v>150416</v>
          </cell>
          <cell r="F233" t="str">
            <v>For</v>
          </cell>
          <cell r="G233">
            <v>969</v>
          </cell>
          <cell r="H233" t="str">
            <v>ALUMINIO ARARENSE</v>
          </cell>
          <cell r="I233">
            <v>3577</v>
          </cell>
          <cell r="J233">
            <v>1</v>
          </cell>
          <cell r="K233">
            <v>1</v>
          </cell>
          <cell r="L233">
            <v>341</v>
          </cell>
          <cell r="M233">
            <v>1979.38</v>
          </cell>
          <cell r="N233">
            <v>0</v>
          </cell>
          <cell r="O233">
            <v>0</v>
          </cell>
          <cell r="P233">
            <v>4</v>
          </cell>
          <cell r="Q233">
            <v>150416</v>
          </cell>
        </row>
        <row r="234">
          <cell r="A234">
            <v>233</v>
          </cell>
          <cell r="B234" t="str">
            <v>Pg</v>
          </cell>
          <cell r="C234">
            <v>3</v>
          </cell>
          <cell r="D234">
            <v>80416</v>
          </cell>
          <cell r="E234">
            <v>150416</v>
          </cell>
          <cell r="F234" t="str">
            <v>For</v>
          </cell>
          <cell r="G234">
            <v>2160</v>
          </cell>
          <cell r="H234" t="str">
            <v>DESTRO BRASIL DISTRIBUICAO LTDA</v>
          </cell>
          <cell r="I234">
            <v>1060655</v>
          </cell>
          <cell r="J234">
            <v>1</v>
          </cell>
          <cell r="K234">
            <v>1</v>
          </cell>
          <cell r="L234">
            <v>341</v>
          </cell>
          <cell r="M234">
            <v>1371</v>
          </cell>
          <cell r="N234">
            <v>0</v>
          </cell>
          <cell r="O234">
            <v>0</v>
          </cell>
          <cell r="P234">
            <v>4</v>
          </cell>
          <cell r="Q234">
            <v>150416</v>
          </cell>
        </row>
        <row r="235">
          <cell r="A235">
            <v>234</v>
          </cell>
          <cell r="B235" t="str">
            <v>Pg</v>
          </cell>
          <cell r="C235">
            <v>6</v>
          </cell>
          <cell r="D235">
            <v>50416</v>
          </cell>
          <cell r="E235">
            <v>160416</v>
          </cell>
          <cell r="F235" t="str">
            <v>For</v>
          </cell>
          <cell r="G235">
            <v>363</v>
          </cell>
          <cell r="H235" t="str">
            <v>D.M DE OLIVEIRA ALIMENTOS - ME</v>
          </cell>
          <cell r="I235">
            <v>16849</v>
          </cell>
          <cell r="J235">
            <v>1</v>
          </cell>
          <cell r="K235">
            <v>1</v>
          </cell>
          <cell r="L235">
            <v>341</v>
          </cell>
          <cell r="M235">
            <v>2003.22</v>
          </cell>
          <cell r="N235">
            <v>0</v>
          </cell>
          <cell r="O235">
            <v>0</v>
          </cell>
          <cell r="P235">
            <v>4</v>
          </cell>
          <cell r="Q235">
            <v>180416</v>
          </cell>
        </row>
        <row r="236">
          <cell r="A236">
            <v>235</v>
          </cell>
          <cell r="B236" t="str">
            <v>Pg</v>
          </cell>
          <cell r="C236">
            <v>1</v>
          </cell>
          <cell r="D236">
            <v>50416</v>
          </cell>
          <cell r="E236">
            <v>160416</v>
          </cell>
          <cell r="F236" t="str">
            <v>For</v>
          </cell>
          <cell r="G236">
            <v>1458</v>
          </cell>
          <cell r="H236" t="str">
            <v>DISTRIBUIDORA DE PRODUTOS ALIMENTICIOS MARSIL LTDA</v>
          </cell>
          <cell r="I236">
            <v>1291894</v>
          </cell>
          <cell r="J236">
            <v>1</v>
          </cell>
          <cell r="K236">
            <v>1</v>
          </cell>
          <cell r="L236">
            <v>341</v>
          </cell>
          <cell r="M236">
            <v>3769.85</v>
          </cell>
          <cell r="N236">
            <v>0</v>
          </cell>
          <cell r="O236">
            <v>0</v>
          </cell>
          <cell r="P236">
            <v>4</v>
          </cell>
          <cell r="Q236">
            <v>180416</v>
          </cell>
        </row>
        <row r="237">
          <cell r="A237">
            <v>236</v>
          </cell>
          <cell r="B237" t="str">
            <v>Pg</v>
          </cell>
          <cell r="C237">
            <v>8</v>
          </cell>
          <cell r="D237">
            <v>50416</v>
          </cell>
          <cell r="E237">
            <v>160416</v>
          </cell>
          <cell r="F237" t="str">
            <v>For</v>
          </cell>
          <cell r="G237">
            <v>1458</v>
          </cell>
          <cell r="H237" t="str">
            <v>DISTRIBUIDORA DE PRODUTOS ALIMENTICIOS MARSIL LTDA</v>
          </cell>
          <cell r="I237">
            <v>1291893</v>
          </cell>
          <cell r="J237">
            <v>1</v>
          </cell>
          <cell r="K237">
            <v>1</v>
          </cell>
          <cell r="L237">
            <v>341</v>
          </cell>
          <cell r="M237">
            <v>2053.62</v>
          </cell>
          <cell r="N237">
            <v>0</v>
          </cell>
          <cell r="O237">
            <v>0</v>
          </cell>
          <cell r="P237">
            <v>4</v>
          </cell>
          <cell r="Q237">
            <v>180416</v>
          </cell>
        </row>
        <row r="238">
          <cell r="A238">
            <v>237</v>
          </cell>
          <cell r="B238" t="str">
            <v>Pg</v>
          </cell>
          <cell r="C238">
            <v>3</v>
          </cell>
          <cell r="D238">
            <v>50416</v>
          </cell>
          <cell r="E238">
            <v>160416</v>
          </cell>
          <cell r="F238" t="str">
            <v>For</v>
          </cell>
          <cell r="G238">
            <v>1458</v>
          </cell>
          <cell r="H238" t="str">
            <v>DISTRIBUIDORA DE PRODUTOS ALIMENTICIOS MARSIL LTDA</v>
          </cell>
          <cell r="I238">
            <v>1291844</v>
          </cell>
          <cell r="J238">
            <v>1</v>
          </cell>
          <cell r="K238">
            <v>1</v>
          </cell>
          <cell r="L238">
            <v>341</v>
          </cell>
          <cell r="M238">
            <v>906.36</v>
          </cell>
          <cell r="N238">
            <v>0</v>
          </cell>
          <cell r="O238">
            <v>0</v>
          </cell>
          <cell r="P238">
            <v>4</v>
          </cell>
          <cell r="Q238">
            <v>180416</v>
          </cell>
        </row>
        <row r="239">
          <cell r="A239">
            <v>238</v>
          </cell>
          <cell r="B239" t="str">
            <v>Pg</v>
          </cell>
          <cell r="C239">
            <v>6</v>
          </cell>
          <cell r="D239">
            <v>120416</v>
          </cell>
          <cell r="E239">
            <v>160416</v>
          </cell>
          <cell r="F239" t="str">
            <v>For</v>
          </cell>
          <cell r="G239">
            <v>2096</v>
          </cell>
          <cell r="H239" t="str">
            <v>M. DIAS BRANCO S.A. INDUSTRIA E COM DE ALIMENTOS</v>
          </cell>
          <cell r="I239">
            <v>191800</v>
          </cell>
          <cell r="J239">
            <v>1</v>
          </cell>
          <cell r="K239">
            <v>1</v>
          </cell>
          <cell r="L239">
            <v>341</v>
          </cell>
          <cell r="M239">
            <v>2484</v>
          </cell>
          <cell r="N239">
            <v>0</v>
          </cell>
          <cell r="O239">
            <v>0</v>
          </cell>
          <cell r="P239">
            <v>4</v>
          </cell>
          <cell r="Q239">
            <v>180416</v>
          </cell>
        </row>
        <row r="240">
          <cell r="A240">
            <v>239</v>
          </cell>
          <cell r="B240" t="str">
            <v>Pg</v>
          </cell>
          <cell r="C240">
            <v>6</v>
          </cell>
          <cell r="D240">
            <v>120416</v>
          </cell>
          <cell r="E240">
            <v>160416</v>
          </cell>
          <cell r="F240" t="str">
            <v>For</v>
          </cell>
          <cell r="G240">
            <v>2096</v>
          </cell>
          <cell r="H240" t="str">
            <v>M. DIAS BRANCO S.A. INDUSTRIA E COM DE ALIMENTOS</v>
          </cell>
          <cell r="I240">
            <v>194671</v>
          </cell>
          <cell r="J240">
            <v>1</v>
          </cell>
          <cell r="K240">
            <v>1</v>
          </cell>
          <cell r="L240">
            <v>341</v>
          </cell>
          <cell r="M240">
            <v>1168.02</v>
          </cell>
          <cell r="N240">
            <v>0</v>
          </cell>
          <cell r="O240">
            <v>0</v>
          </cell>
          <cell r="P240">
            <v>4</v>
          </cell>
          <cell r="Q240">
            <v>180416</v>
          </cell>
        </row>
        <row r="241">
          <cell r="A241">
            <v>240</v>
          </cell>
          <cell r="B241" t="str">
            <v>Pg</v>
          </cell>
          <cell r="C241">
            <v>6</v>
          </cell>
          <cell r="D241">
            <v>130416</v>
          </cell>
          <cell r="E241">
            <v>160416</v>
          </cell>
          <cell r="F241" t="str">
            <v>For</v>
          </cell>
          <cell r="G241">
            <v>2096</v>
          </cell>
          <cell r="H241" t="str">
            <v>M. DIAS BRANCO S.A. INDUSTRIA E COM DE ALIMENTOS</v>
          </cell>
          <cell r="I241">
            <v>194759</v>
          </cell>
          <cell r="J241">
            <v>1</v>
          </cell>
          <cell r="K241">
            <v>1</v>
          </cell>
          <cell r="L241">
            <v>341</v>
          </cell>
          <cell r="M241">
            <v>4101.75</v>
          </cell>
          <cell r="N241">
            <v>0</v>
          </cell>
          <cell r="O241">
            <v>0</v>
          </cell>
          <cell r="P241">
            <v>4</v>
          </cell>
          <cell r="Q241">
            <v>180416</v>
          </cell>
        </row>
        <row r="242">
          <cell r="A242">
            <v>241</v>
          </cell>
          <cell r="B242" t="str">
            <v>Pg</v>
          </cell>
          <cell r="C242">
            <v>6</v>
          </cell>
          <cell r="D242">
            <v>230316</v>
          </cell>
          <cell r="E242">
            <v>170416</v>
          </cell>
          <cell r="F242" t="str">
            <v>For</v>
          </cell>
          <cell r="G242">
            <v>2601</v>
          </cell>
          <cell r="H242" t="str">
            <v>DICAN COMERCIO EXTERIOR LTDA</v>
          </cell>
          <cell r="I242">
            <v>29648</v>
          </cell>
          <cell r="J242">
            <v>1</v>
          </cell>
          <cell r="K242">
            <v>1</v>
          </cell>
          <cell r="L242">
            <v>341</v>
          </cell>
          <cell r="M242">
            <v>39794.160000000003</v>
          </cell>
          <cell r="N242">
            <v>0</v>
          </cell>
          <cell r="O242">
            <v>0</v>
          </cell>
          <cell r="P242">
            <v>4</v>
          </cell>
          <cell r="Q242">
            <v>180416</v>
          </cell>
        </row>
        <row r="243">
          <cell r="A243">
            <v>242</v>
          </cell>
          <cell r="B243" t="str">
            <v>Pg</v>
          </cell>
          <cell r="C243">
            <v>6</v>
          </cell>
          <cell r="D243">
            <v>240316</v>
          </cell>
          <cell r="E243">
            <v>170416</v>
          </cell>
          <cell r="F243" t="str">
            <v>For</v>
          </cell>
          <cell r="G243">
            <v>2136</v>
          </cell>
          <cell r="H243" t="str">
            <v>SEB COML. DE PRODS. DOMESTICOS  LTDA</v>
          </cell>
          <cell r="I243">
            <v>395537</v>
          </cell>
          <cell r="J243">
            <v>1</v>
          </cell>
          <cell r="K243">
            <v>1</v>
          </cell>
          <cell r="L243">
            <v>341</v>
          </cell>
          <cell r="M243">
            <v>16872.72</v>
          </cell>
          <cell r="N243">
            <v>0</v>
          </cell>
          <cell r="O243">
            <v>0</v>
          </cell>
          <cell r="P243">
            <v>4</v>
          </cell>
          <cell r="Q243">
            <v>180416</v>
          </cell>
        </row>
        <row r="244">
          <cell r="A244">
            <v>243</v>
          </cell>
          <cell r="B244" t="str">
            <v>Pg</v>
          </cell>
          <cell r="C244">
            <v>6</v>
          </cell>
          <cell r="D244">
            <v>220316</v>
          </cell>
          <cell r="E244">
            <v>180416</v>
          </cell>
          <cell r="F244" t="str">
            <v>For</v>
          </cell>
          <cell r="G244">
            <v>1511</v>
          </cell>
          <cell r="H244" t="str">
            <v>IND E COMERCIO OLIVEIRA LTDA.</v>
          </cell>
          <cell r="I244">
            <v>44847</v>
          </cell>
          <cell r="J244">
            <v>1</v>
          </cell>
          <cell r="K244">
            <v>1</v>
          </cell>
          <cell r="L244">
            <v>341</v>
          </cell>
          <cell r="M244">
            <v>4279.58</v>
          </cell>
          <cell r="N244">
            <v>0</v>
          </cell>
          <cell r="O244">
            <v>0</v>
          </cell>
          <cell r="P244">
            <v>4</v>
          </cell>
          <cell r="Q244">
            <v>180416</v>
          </cell>
        </row>
        <row r="245">
          <cell r="A245">
            <v>244</v>
          </cell>
          <cell r="B245" t="str">
            <v>Pg</v>
          </cell>
          <cell r="C245">
            <v>6</v>
          </cell>
          <cell r="D245">
            <v>220316</v>
          </cell>
          <cell r="E245">
            <v>180416</v>
          </cell>
          <cell r="F245" t="str">
            <v>For</v>
          </cell>
          <cell r="G245">
            <v>1260</v>
          </cell>
          <cell r="H245" t="str">
            <v>NITRONPLAST INDUSTRIA E COMERCIO LTDA</v>
          </cell>
          <cell r="I245">
            <v>82094</v>
          </cell>
          <cell r="J245">
            <v>1</v>
          </cell>
          <cell r="K245">
            <v>1</v>
          </cell>
          <cell r="L245">
            <v>341</v>
          </cell>
          <cell r="M245">
            <v>6292.53</v>
          </cell>
          <cell r="N245">
            <v>0</v>
          </cell>
          <cell r="O245">
            <v>0</v>
          </cell>
          <cell r="P245">
            <v>4</v>
          </cell>
          <cell r="Q245">
            <v>180416</v>
          </cell>
        </row>
        <row r="246">
          <cell r="A246">
            <v>245</v>
          </cell>
          <cell r="B246" t="str">
            <v>Pg</v>
          </cell>
          <cell r="C246">
            <v>6</v>
          </cell>
          <cell r="D246">
            <v>220316</v>
          </cell>
          <cell r="E246">
            <v>180416</v>
          </cell>
          <cell r="F246" t="str">
            <v>For</v>
          </cell>
          <cell r="G246">
            <v>1260</v>
          </cell>
          <cell r="H246" t="str">
            <v>NITRONPLAST INDUSTRIA E COMERCIO LTDA</v>
          </cell>
          <cell r="I246">
            <v>82088</v>
          </cell>
          <cell r="J246">
            <v>1</v>
          </cell>
          <cell r="K246">
            <v>1</v>
          </cell>
          <cell r="L246">
            <v>341</v>
          </cell>
          <cell r="M246">
            <v>69789.91</v>
          </cell>
          <cell r="N246">
            <v>-1556.06</v>
          </cell>
          <cell r="O246">
            <v>0</v>
          </cell>
          <cell r="P246">
            <v>4</v>
          </cell>
          <cell r="Q246">
            <v>180416</v>
          </cell>
        </row>
        <row r="247">
          <cell r="A247">
            <v>246</v>
          </cell>
          <cell r="B247" t="str">
            <v>Pg</v>
          </cell>
          <cell r="C247">
            <v>6</v>
          </cell>
          <cell r="D247">
            <v>80416</v>
          </cell>
          <cell r="E247">
            <v>180416</v>
          </cell>
          <cell r="F247" t="str">
            <v>For</v>
          </cell>
          <cell r="G247">
            <v>1246</v>
          </cell>
          <cell r="H247" t="str">
            <v>SECALUX COMERCIO E INDUSTRIA LTDA</v>
          </cell>
          <cell r="I247">
            <v>79551</v>
          </cell>
          <cell r="J247">
            <v>1</v>
          </cell>
          <cell r="K247">
            <v>1</v>
          </cell>
          <cell r="L247">
            <v>341</v>
          </cell>
          <cell r="M247">
            <v>114560.28</v>
          </cell>
          <cell r="N247">
            <v>0</v>
          </cell>
          <cell r="O247">
            <v>0</v>
          </cell>
          <cell r="P247">
            <v>4</v>
          </cell>
          <cell r="Q247">
            <v>180416</v>
          </cell>
        </row>
        <row r="248">
          <cell r="A248">
            <v>247</v>
          </cell>
          <cell r="B248" t="str">
            <v>Pg</v>
          </cell>
          <cell r="C248">
            <v>6</v>
          </cell>
          <cell r="D248">
            <v>110416</v>
          </cell>
          <cell r="E248">
            <v>180416</v>
          </cell>
          <cell r="F248" t="str">
            <v>For</v>
          </cell>
          <cell r="G248">
            <v>1982</v>
          </cell>
          <cell r="H248" t="str">
            <v>NADIR FIGUEIREDO INDUSTRIA E COMERCIO S.A</v>
          </cell>
          <cell r="I248">
            <v>204476</v>
          </cell>
          <cell r="J248">
            <v>1</v>
          </cell>
          <cell r="K248">
            <v>1</v>
          </cell>
          <cell r="L248">
            <v>341</v>
          </cell>
          <cell r="M248">
            <v>119585.03</v>
          </cell>
          <cell r="N248">
            <v>0</v>
          </cell>
          <cell r="O248">
            <v>0</v>
          </cell>
          <cell r="P248">
            <v>4</v>
          </cell>
          <cell r="Q248">
            <v>180416</v>
          </cell>
        </row>
        <row r="249">
          <cell r="A249">
            <v>248</v>
          </cell>
          <cell r="B249" t="str">
            <v>Pg</v>
          </cell>
          <cell r="C249">
            <v>3</v>
          </cell>
          <cell r="D249">
            <v>110416</v>
          </cell>
          <cell r="E249">
            <v>180416</v>
          </cell>
          <cell r="F249" t="str">
            <v>For</v>
          </cell>
          <cell r="G249">
            <v>2160</v>
          </cell>
          <cell r="H249" t="str">
            <v>DESTRO BRASIL DISTRIBUICAO LTDA</v>
          </cell>
          <cell r="I249">
            <v>1061782</v>
          </cell>
          <cell r="J249">
            <v>1</v>
          </cell>
          <cell r="K249">
            <v>1</v>
          </cell>
          <cell r="L249">
            <v>341</v>
          </cell>
          <cell r="M249">
            <v>452.52</v>
          </cell>
          <cell r="N249">
            <v>0</v>
          </cell>
          <cell r="O249">
            <v>0</v>
          </cell>
          <cell r="P249">
            <v>4</v>
          </cell>
          <cell r="Q249">
            <v>180416</v>
          </cell>
        </row>
        <row r="250">
          <cell r="A250">
            <v>249</v>
          </cell>
          <cell r="B250" t="str">
            <v>Pg</v>
          </cell>
          <cell r="C250">
            <v>1</v>
          </cell>
          <cell r="D250">
            <v>120416</v>
          </cell>
          <cell r="E250">
            <v>180416</v>
          </cell>
          <cell r="F250" t="str">
            <v>For</v>
          </cell>
          <cell r="G250">
            <v>1951</v>
          </cell>
          <cell r="H250" t="str">
            <v>BISCOITONE IND PROD ALIMENTICIOS LTDA</v>
          </cell>
          <cell r="I250">
            <v>26974</v>
          </cell>
          <cell r="J250">
            <v>1</v>
          </cell>
          <cell r="K250">
            <v>1</v>
          </cell>
          <cell r="L250">
            <v>999</v>
          </cell>
          <cell r="M250">
            <v>10371.41</v>
          </cell>
          <cell r="N250">
            <v>0</v>
          </cell>
          <cell r="O250">
            <v>0</v>
          </cell>
          <cell r="P250">
            <v>4</v>
          </cell>
          <cell r="Q250">
            <v>150416</v>
          </cell>
        </row>
        <row r="251">
          <cell r="A251">
            <v>250</v>
          </cell>
          <cell r="B251" t="str">
            <v>Pg</v>
          </cell>
          <cell r="C251">
            <v>8</v>
          </cell>
          <cell r="D251">
            <v>120416</v>
          </cell>
          <cell r="E251">
            <v>180416</v>
          </cell>
          <cell r="F251" t="str">
            <v>For</v>
          </cell>
          <cell r="G251">
            <v>1951</v>
          </cell>
          <cell r="H251" t="str">
            <v>BISCOITONE IND PROD ALIMENTICIOS LTDA</v>
          </cell>
          <cell r="I251">
            <v>26977</v>
          </cell>
          <cell r="J251">
            <v>1</v>
          </cell>
          <cell r="K251">
            <v>1</v>
          </cell>
          <cell r="L251">
            <v>341</v>
          </cell>
          <cell r="M251">
            <v>2444.42</v>
          </cell>
          <cell r="N251">
            <v>0</v>
          </cell>
          <cell r="O251">
            <v>0</v>
          </cell>
          <cell r="P251">
            <v>4</v>
          </cell>
          <cell r="Q251">
            <v>180416</v>
          </cell>
        </row>
        <row r="252">
          <cell r="A252">
            <v>251</v>
          </cell>
          <cell r="B252" t="str">
            <v>Pg</v>
          </cell>
          <cell r="C252">
            <v>6</v>
          </cell>
          <cell r="D252">
            <v>130416</v>
          </cell>
          <cell r="E252">
            <v>180416</v>
          </cell>
          <cell r="F252" t="str">
            <v>For</v>
          </cell>
          <cell r="G252">
            <v>1533</v>
          </cell>
          <cell r="H252" t="str">
            <v>TRAMONTINA S/A CUTELARIA</v>
          </cell>
          <cell r="I252">
            <v>329230</v>
          </cell>
          <cell r="J252">
            <v>1</v>
          </cell>
          <cell r="K252">
            <v>1</v>
          </cell>
          <cell r="L252">
            <v>341</v>
          </cell>
          <cell r="M252">
            <v>43713.87</v>
          </cell>
          <cell r="N252">
            <v>0</v>
          </cell>
          <cell r="O252">
            <v>0</v>
          </cell>
          <cell r="P252">
            <v>4</v>
          </cell>
          <cell r="Q252">
            <v>180416</v>
          </cell>
        </row>
        <row r="253">
          <cell r="A253">
            <v>252</v>
          </cell>
          <cell r="B253" t="str">
            <v>Pg</v>
          </cell>
          <cell r="C253">
            <v>6</v>
          </cell>
          <cell r="D253">
            <v>130416</v>
          </cell>
          <cell r="E253">
            <v>180416</v>
          </cell>
          <cell r="F253" t="str">
            <v>For</v>
          </cell>
          <cell r="G253">
            <v>1533</v>
          </cell>
          <cell r="H253" t="str">
            <v>TRAMONTINA S/A CUTELARIA</v>
          </cell>
          <cell r="I253">
            <v>329229</v>
          </cell>
          <cell r="J253">
            <v>1</v>
          </cell>
          <cell r="K253">
            <v>1</v>
          </cell>
          <cell r="L253">
            <v>341</v>
          </cell>
          <cell r="M253">
            <v>76674.69</v>
          </cell>
          <cell r="N253">
            <v>0</v>
          </cell>
          <cell r="O253">
            <v>0</v>
          </cell>
          <cell r="P253">
            <v>4</v>
          </cell>
          <cell r="Q253">
            <v>180416</v>
          </cell>
        </row>
        <row r="254">
          <cell r="A254">
            <v>253</v>
          </cell>
          <cell r="B254" t="str">
            <v>Pg</v>
          </cell>
          <cell r="C254">
            <v>3</v>
          </cell>
          <cell r="D254">
            <v>130416</v>
          </cell>
          <cell r="E254">
            <v>180416</v>
          </cell>
          <cell r="F254" t="str">
            <v>For</v>
          </cell>
          <cell r="G254">
            <v>1951</v>
          </cell>
          <cell r="H254" t="str">
            <v>BISCOITONE IND PROD ALIMENTICIOS LTDA</v>
          </cell>
          <cell r="I254">
            <v>26976</v>
          </cell>
          <cell r="J254">
            <v>1</v>
          </cell>
          <cell r="K254">
            <v>1</v>
          </cell>
          <cell r="L254">
            <v>341</v>
          </cell>
          <cell r="M254">
            <v>4457.47</v>
          </cell>
          <cell r="N254">
            <v>0</v>
          </cell>
          <cell r="O254">
            <v>0</v>
          </cell>
          <cell r="P254">
            <v>4</v>
          </cell>
          <cell r="Q254">
            <v>180416</v>
          </cell>
        </row>
        <row r="255">
          <cell r="A255">
            <v>254</v>
          </cell>
          <cell r="B255" t="str">
            <v>Pg</v>
          </cell>
          <cell r="C255">
            <v>5</v>
          </cell>
          <cell r="D255">
            <v>130416</v>
          </cell>
          <cell r="E255">
            <v>180416</v>
          </cell>
          <cell r="F255" t="str">
            <v>For</v>
          </cell>
          <cell r="G255">
            <v>1951</v>
          </cell>
          <cell r="H255" t="str">
            <v>BISCOITONE IND PROD ALIMENTICIOS LTDA</v>
          </cell>
          <cell r="I255">
            <v>26975</v>
          </cell>
          <cell r="J255">
            <v>1</v>
          </cell>
          <cell r="K255">
            <v>1</v>
          </cell>
          <cell r="L255">
            <v>341</v>
          </cell>
          <cell r="M255">
            <v>6789.43</v>
          </cell>
          <cell r="N255">
            <v>0</v>
          </cell>
          <cell r="O255">
            <v>0</v>
          </cell>
          <cell r="P255">
            <v>4</v>
          </cell>
          <cell r="Q255">
            <v>180416</v>
          </cell>
        </row>
        <row r="256">
          <cell r="A256">
            <v>255</v>
          </cell>
          <cell r="B256" t="str">
            <v>Pg</v>
          </cell>
          <cell r="C256">
            <v>3</v>
          </cell>
          <cell r="D256">
            <v>130416</v>
          </cell>
          <cell r="E256">
            <v>180416</v>
          </cell>
          <cell r="F256" t="str">
            <v>For</v>
          </cell>
          <cell r="G256">
            <v>2088</v>
          </cell>
          <cell r="H256" t="str">
            <v>GIANINA COM.IMPORT. E EXPORT.S/A</v>
          </cell>
          <cell r="I256">
            <v>381669</v>
          </cell>
          <cell r="J256">
            <v>1</v>
          </cell>
          <cell r="K256">
            <v>1</v>
          </cell>
          <cell r="L256">
            <v>341</v>
          </cell>
          <cell r="M256">
            <v>3420.36</v>
          </cell>
          <cell r="N256">
            <v>0</v>
          </cell>
          <cell r="O256">
            <v>0</v>
          </cell>
          <cell r="P256">
            <v>4</v>
          </cell>
          <cell r="Q256">
            <v>180416</v>
          </cell>
        </row>
        <row r="257">
          <cell r="A257">
            <v>256</v>
          </cell>
          <cell r="B257" t="str">
            <v>Pg</v>
          </cell>
          <cell r="C257">
            <v>9</v>
          </cell>
          <cell r="D257">
            <v>140416</v>
          </cell>
          <cell r="E257">
            <v>180416</v>
          </cell>
          <cell r="F257" t="str">
            <v>For</v>
          </cell>
          <cell r="G257">
            <v>1911</v>
          </cell>
          <cell r="H257" t="str">
            <v>ISABEL APARECIDA LOPES PINHEIRO</v>
          </cell>
          <cell r="I257">
            <v>2777</v>
          </cell>
          <cell r="J257">
            <v>1</v>
          </cell>
          <cell r="K257">
            <v>1</v>
          </cell>
          <cell r="L257">
            <v>237</v>
          </cell>
          <cell r="M257">
            <v>2420</v>
          </cell>
          <cell r="N257">
            <v>0</v>
          </cell>
          <cell r="O257">
            <v>0</v>
          </cell>
          <cell r="P257">
            <v>14</v>
          </cell>
          <cell r="Q257">
            <v>180416</v>
          </cell>
        </row>
        <row r="258">
          <cell r="A258">
            <v>257</v>
          </cell>
          <cell r="B258" t="str">
            <v>Pg</v>
          </cell>
          <cell r="C258">
            <v>6</v>
          </cell>
          <cell r="D258">
            <v>140416</v>
          </cell>
          <cell r="E258">
            <v>180416</v>
          </cell>
          <cell r="F258" t="str">
            <v>For</v>
          </cell>
          <cell r="G258">
            <v>2866</v>
          </cell>
          <cell r="H258" t="str">
            <v>LUPARO LTDA-ME</v>
          </cell>
          <cell r="I258">
            <v>119</v>
          </cell>
          <cell r="J258">
            <v>1</v>
          </cell>
          <cell r="K258">
            <v>1</v>
          </cell>
          <cell r="L258">
            <v>341</v>
          </cell>
          <cell r="M258">
            <v>1998</v>
          </cell>
          <cell r="N258">
            <v>0</v>
          </cell>
          <cell r="O258">
            <v>0</v>
          </cell>
          <cell r="P258">
            <v>14</v>
          </cell>
          <cell r="Q258">
            <v>180416</v>
          </cell>
        </row>
        <row r="259">
          <cell r="A259">
            <v>258</v>
          </cell>
          <cell r="B259" t="str">
            <v>Pg</v>
          </cell>
          <cell r="C259">
            <v>6</v>
          </cell>
          <cell r="D259">
            <v>150416</v>
          </cell>
          <cell r="E259">
            <v>180416</v>
          </cell>
          <cell r="F259" t="str">
            <v>For</v>
          </cell>
          <cell r="G259">
            <v>1987</v>
          </cell>
          <cell r="H259" t="str">
            <v>IRINEIA APARECIDA DO NASCIMENTO ME</v>
          </cell>
          <cell r="I259">
            <v>450</v>
          </cell>
          <cell r="J259">
            <v>1</v>
          </cell>
          <cell r="K259">
            <v>1</v>
          </cell>
          <cell r="L259">
            <v>237</v>
          </cell>
          <cell r="M259">
            <v>11780</v>
          </cell>
          <cell r="N259">
            <v>0</v>
          </cell>
          <cell r="O259">
            <v>0</v>
          </cell>
          <cell r="P259">
            <v>14</v>
          </cell>
          <cell r="Q259">
            <v>180416</v>
          </cell>
        </row>
        <row r="260">
          <cell r="A260">
            <v>259</v>
          </cell>
          <cell r="B260" t="str">
            <v>Pg</v>
          </cell>
          <cell r="C260">
            <v>6</v>
          </cell>
          <cell r="D260">
            <v>211215</v>
          </cell>
          <cell r="E260">
            <v>190416</v>
          </cell>
          <cell r="F260" t="str">
            <v>For</v>
          </cell>
          <cell r="G260">
            <v>2819</v>
          </cell>
          <cell r="H260" t="str">
            <v>FORT SOLUTIONS COM IMP EXP LTDA</v>
          </cell>
          <cell r="I260">
            <v>11453</v>
          </cell>
          <cell r="J260">
            <v>4</v>
          </cell>
          <cell r="K260">
            <v>4</v>
          </cell>
          <cell r="L260">
            <v>341</v>
          </cell>
          <cell r="M260">
            <v>15421.56</v>
          </cell>
          <cell r="N260">
            <v>0</v>
          </cell>
          <cell r="O260">
            <v>0</v>
          </cell>
          <cell r="P260">
            <v>4</v>
          </cell>
          <cell r="Q260">
            <v>190416</v>
          </cell>
        </row>
        <row r="261">
          <cell r="A261">
            <v>260</v>
          </cell>
          <cell r="B261" t="str">
            <v>Pg</v>
          </cell>
          <cell r="C261">
            <v>6</v>
          </cell>
          <cell r="D261">
            <v>211215</v>
          </cell>
          <cell r="E261">
            <v>190416</v>
          </cell>
          <cell r="F261" t="str">
            <v>For</v>
          </cell>
          <cell r="G261">
            <v>2819</v>
          </cell>
          <cell r="H261" t="str">
            <v>FORT SOLUTIONS COM IMP EXP LTDA</v>
          </cell>
          <cell r="I261">
            <v>11452</v>
          </cell>
          <cell r="J261">
            <v>4</v>
          </cell>
          <cell r="K261">
            <v>4</v>
          </cell>
          <cell r="L261">
            <v>341</v>
          </cell>
          <cell r="M261">
            <v>13965.15</v>
          </cell>
          <cell r="N261">
            <v>0</v>
          </cell>
          <cell r="O261">
            <v>0</v>
          </cell>
          <cell r="P261">
            <v>4</v>
          </cell>
          <cell r="Q261">
            <v>190416</v>
          </cell>
        </row>
        <row r="262">
          <cell r="A262">
            <v>261</v>
          </cell>
          <cell r="B262" t="str">
            <v>Pg</v>
          </cell>
          <cell r="C262">
            <v>6</v>
          </cell>
          <cell r="D262">
            <v>211215</v>
          </cell>
          <cell r="E262">
            <v>190416</v>
          </cell>
          <cell r="F262" t="str">
            <v>For</v>
          </cell>
          <cell r="G262">
            <v>2819</v>
          </cell>
          <cell r="H262" t="str">
            <v>FORT SOLUTIONS COM IMP EXP LTDA</v>
          </cell>
          <cell r="I262">
            <v>11451</v>
          </cell>
          <cell r="J262">
            <v>4</v>
          </cell>
          <cell r="K262">
            <v>4</v>
          </cell>
          <cell r="L262">
            <v>341</v>
          </cell>
          <cell r="M262">
            <v>6747.46</v>
          </cell>
          <cell r="N262">
            <v>0</v>
          </cell>
          <cell r="O262">
            <v>0</v>
          </cell>
          <cell r="P262">
            <v>4</v>
          </cell>
          <cell r="Q262">
            <v>190416</v>
          </cell>
        </row>
        <row r="263">
          <cell r="A263">
            <v>262</v>
          </cell>
          <cell r="B263" t="str">
            <v>Pg</v>
          </cell>
          <cell r="C263">
            <v>6</v>
          </cell>
          <cell r="D263">
            <v>250116</v>
          </cell>
          <cell r="E263">
            <v>190416</v>
          </cell>
          <cell r="F263" t="str">
            <v>For</v>
          </cell>
          <cell r="G263">
            <v>1785</v>
          </cell>
          <cell r="H263" t="str">
            <v>SAO PAULO EXPRESS COM IMP EXP LTDA.</v>
          </cell>
          <cell r="I263">
            <v>27983</v>
          </cell>
          <cell r="J263">
            <v>1</v>
          </cell>
          <cell r="K263">
            <v>1</v>
          </cell>
          <cell r="L263">
            <v>341</v>
          </cell>
          <cell r="M263">
            <v>16170</v>
          </cell>
          <cell r="N263">
            <v>0</v>
          </cell>
          <cell r="O263">
            <v>0</v>
          </cell>
          <cell r="P263">
            <v>4</v>
          </cell>
          <cell r="Q263">
            <v>190416</v>
          </cell>
        </row>
        <row r="264">
          <cell r="A264">
            <v>263</v>
          </cell>
          <cell r="B264" t="str">
            <v>Pg</v>
          </cell>
          <cell r="C264">
            <v>6</v>
          </cell>
          <cell r="D264">
            <v>250116</v>
          </cell>
          <cell r="E264">
            <v>190416</v>
          </cell>
          <cell r="F264" t="str">
            <v>For</v>
          </cell>
          <cell r="G264">
            <v>1785</v>
          </cell>
          <cell r="H264" t="str">
            <v>SAO PAULO EXPRESS COM IMP EXP LTDA.</v>
          </cell>
          <cell r="I264">
            <v>27984</v>
          </cell>
          <cell r="J264">
            <v>1</v>
          </cell>
          <cell r="K264">
            <v>1</v>
          </cell>
          <cell r="L264">
            <v>341</v>
          </cell>
          <cell r="M264">
            <v>11110</v>
          </cell>
          <cell r="N264">
            <v>0</v>
          </cell>
          <cell r="O264">
            <v>0</v>
          </cell>
          <cell r="P264">
            <v>4</v>
          </cell>
          <cell r="Q264">
            <v>190416</v>
          </cell>
        </row>
        <row r="265">
          <cell r="A265">
            <v>264</v>
          </cell>
          <cell r="B265" t="str">
            <v>Pg</v>
          </cell>
          <cell r="C265">
            <v>6</v>
          </cell>
          <cell r="D265">
            <v>110316</v>
          </cell>
          <cell r="E265">
            <v>190416</v>
          </cell>
          <cell r="F265" t="str">
            <v>For</v>
          </cell>
          <cell r="G265">
            <v>2946</v>
          </cell>
          <cell r="H265" t="str">
            <v>TERMOTECNICA LTDA</v>
          </cell>
          <cell r="I265">
            <v>124747</v>
          </cell>
          <cell r="J265">
            <v>1</v>
          </cell>
          <cell r="K265">
            <v>1</v>
          </cell>
          <cell r="L265">
            <v>341</v>
          </cell>
          <cell r="M265">
            <v>13977.34</v>
          </cell>
          <cell r="N265">
            <v>0</v>
          </cell>
          <cell r="O265">
            <v>0</v>
          </cell>
          <cell r="P265">
            <v>4</v>
          </cell>
          <cell r="Q265">
            <v>190416</v>
          </cell>
        </row>
        <row r="266">
          <cell r="A266">
            <v>265</v>
          </cell>
          <cell r="B266" t="str">
            <v>Pg</v>
          </cell>
          <cell r="C266">
            <v>6</v>
          </cell>
          <cell r="D266">
            <v>290316</v>
          </cell>
          <cell r="E266">
            <v>190416</v>
          </cell>
          <cell r="F266" t="str">
            <v>For</v>
          </cell>
          <cell r="G266">
            <v>2819</v>
          </cell>
          <cell r="H266" t="str">
            <v>FORT SOLUTIONS COM IMP EXP LTDA</v>
          </cell>
          <cell r="I266">
            <v>12428</v>
          </cell>
          <cell r="J266">
            <v>1</v>
          </cell>
          <cell r="K266">
            <v>4</v>
          </cell>
          <cell r="L266">
            <v>999</v>
          </cell>
          <cell r="M266">
            <v>15633.38</v>
          </cell>
          <cell r="N266">
            <v>0</v>
          </cell>
          <cell r="O266">
            <v>0</v>
          </cell>
          <cell r="P266">
            <v>4</v>
          </cell>
          <cell r="Q266">
            <v>180416</v>
          </cell>
        </row>
        <row r="267">
          <cell r="A267">
            <v>266</v>
          </cell>
          <cell r="B267" t="str">
            <v>Pg</v>
          </cell>
          <cell r="C267">
            <v>3</v>
          </cell>
          <cell r="D267">
            <v>290316</v>
          </cell>
          <cell r="E267">
            <v>190416</v>
          </cell>
          <cell r="F267" t="str">
            <v>For</v>
          </cell>
          <cell r="G267">
            <v>2932</v>
          </cell>
          <cell r="H267" t="str">
            <v>DIRVAN INDUSTRIA E COMERCIO LTDA</v>
          </cell>
          <cell r="I267">
            <v>6829</v>
          </cell>
          <cell r="J267">
            <v>1</v>
          </cell>
          <cell r="K267">
            <v>1</v>
          </cell>
          <cell r="L267">
            <v>341</v>
          </cell>
          <cell r="M267">
            <v>2315.9499999999998</v>
          </cell>
          <cell r="N267">
            <v>0</v>
          </cell>
          <cell r="O267">
            <v>0</v>
          </cell>
          <cell r="P267">
            <v>4</v>
          </cell>
          <cell r="Q267">
            <v>190416</v>
          </cell>
        </row>
        <row r="268">
          <cell r="A268">
            <v>267</v>
          </cell>
          <cell r="B268" t="str">
            <v>Pg</v>
          </cell>
          <cell r="C268">
            <v>6</v>
          </cell>
          <cell r="D268">
            <v>310316</v>
          </cell>
          <cell r="E268">
            <v>190416</v>
          </cell>
          <cell r="F268" t="str">
            <v>For</v>
          </cell>
          <cell r="G268">
            <v>930</v>
          </cell>
          <cell r="H268" t="str">
            <v>PEPSICO DO BRASIL LTDA.</v>
          </cell>
          <cell r="I268">
            <v>88405</v>
          </cell>
          <cell r="J268">
            <v>1</v>
          </cell>
          <cell r="K268">
            <v>1</v>
          </cell>
          <cell r="L268">
            <v>341</v>
          </cell>
          <cell r="M268">
            <v>752.55</v>
          </cell>
          <cell r="N268">
            <v>0</v>
          </cell>
          <cell r="O268">
            <v>0</v>
          </cell>
          <cell r="P268">
            <v>4</v>
          </cell>
          <cell r="Q268">
            <v>190416</v>
          </cell>
        </row>
        <row r="269">
          <cell r="A269">
            <v>268</v>
          </cell>
          <cell r="B269" t="str">
            <v>Pg</v>
          </cell>
          <cell r="C269">
            <v>6</v>
          </cell>
          <cell r="D269">
            <v>310316</v>
          </cell>
          <cell r="E269">
            <v>190416</v>
          </cell>
          <cell r="F269" t="str">
            <v>For</v>
          </cell>
          <cell r="G269">
            <v>930</v>
          </cell>
          <cell r="H269" t="str">
            <v>PEPSICO DO BRASIL LTDA.</v>
          </cell>
          <cell r="I269">
            <v>88404</v>
          </cell>
          <cell r="J269">
            <v>1</v>
          </cell>
          <cell r="K269">
            <v>1</v>
          </cell>
          <cell r="L269">
            <v>341</v>
          </cell>
          <cell r="M269">
            <v>670.52</v>
          </cell>
          <cell r="N269">
            <v>0</v>
          </cell>
          <cell r="O269">
            <v>0</v>
          </cell>
          <cell r="P269">
            <v>4</v>
          </cell>
          <cell r="Q269">
            <v>190416</v>
          </cell>
        </row>
        <row r="270">
          <cell r="A270">
            <v>269</v>
          </cell>
          <cell r="B270" t="str">
            <v>Pg</v>
          </cell>
          <cell r="C270">
            <v>6</v>
          </cell>
          <cell r="D270">
            <v>310316</v>
          </cell>
          <cell r="E270">
            <v>190416</v>
          </cell>
          <cell r="F270" t="str">
            <v>For</v>
          </cell>
          <cell r="G270">
            <v>930</v>
          </cell>
          <cell r="H270" t="str">
            <v>PEPSICO DO BRASIL LTDA.</v>
          </cell>
          <cell r="I270">
            <v>88403</v>
          </cell>
          <cell r="J270">
            <v>1</v>
          </cell>
          <cell r="K270">
            <v>1</v>
          </cell>
          <cell r="L270">
            <v>341</v>
          </cell>
          <cell r="M270">
            <v>1676.3</v>
          </cell>
          <cell r="N270">
            <v>0</v>
          </cell>
          <cell r="O270">
            <v>0</v>
          </cell>
          <cell r="P270">
            <v>4</v>
          </cell>
          <cell r="Q270">
            <v>190416</v>
          </cell>
        </row>
        <row r="271">
          <cell r="A271">
            <v>270</v>
          </cell>
          <cell r="B271" t="str">
            <v>Pg</v>
          </cell>
          <cell r="C271">
            <v>6</v>
          </cell>
          <cell r="D271">
            <v>310316</v>
          </cell>
          <cell r="E271">
            <v>190416</v>
          </cell>
          <cell r="F271" t="str">
            <v>For</v>
          </cell>
          <cell r="G271">
            <v>930</v>
          </cell>
          <cell r="H271" t="str">
            <v>PEPSICO DO BRASIL LTDA.</v>
          </cell>
          <cell r="I271">
            <v>88402</v>
          </cell>
          <cell r="J271">
            <v>1</v>
          </cell>
          <cell r="K271">
            <v>1</v>
          </cell>
          <cell r="L271">
            <v>999</v>
          </cell>
          <cell r="M271">
            <v>17836.03</v>
          </cell>
          <cell r="N271">
            <v>0</v>
          </cell>
          <cell r="O271">
            <v>0</v>
          </cell>
          <cell r="P271">
            <v>4</v>
          </cell>
          <cell r="Q271">
            <v>180416</v>
          </cell>
        </row>
        <row r="272">
          <cell r="A272">
            <v>271</v>
          </cell>
          <cell r="B272" t="str">
            <v>Pg</v>
          </cell>
          <cell r="C272">
            <v>5</v>
          </cell>
          <cell r="D272">
            <v>310316</v>
          </cell>
          <cell r="E272">
            <v>190416</v>
          </cell>
          <cell r="F272" t="str">
            <v>For</v>
          </cell>
          <cell r="G272">
            <v>2932</v>
          </cell>
          <cell r="H272" t="str">
            <v>DIRVAN INDUSTRIA E COMERCIO LTDA</v>
          </cell>
          <cell r="I272">
            <v>6830</v>
          </cell>
          <cell r="J272">
            <v>1</v>
          </cell>
          <cell r="K272">
            <v>1</v>
          </cell>
          <cell r="L272">
            <v>341</v>
          </cell>
          <cell r="M272">
            <v>1885.06</v>
          </cell>
          <cell r="N272">
            <v>0</v>
          </cell>
          <cell r="O272">
            <v>0</v>
          </cell>
          <cell r="P272">
            <v>4</v>
          </cell>
          <cell r="Q272">
            <v>190416</v>
          </cell>
        </row>
        <row r="273">
          <cell r="A273">
            <v>272</v>
          </cell>
          <cell r="B273" t="str">
            <v>Pg</v>
          </cell>
          <cell r="C273">
            <v>1</v>
          </cell>
          <cell r="D273">
            <v>310316</v>
          </cell>
          <cell r="E273">
            <v>190416</v>
          </cell>
          <cell r="F273" t="str">
            <v>For</v>
          </cell>
          <cell r="G273">
            <v>2932</v>
          </cell>
          <cell r="H273" t="str">
            <v>DIRVAN INDUSTRIA E COMERCIO LTDA</v>
          </cell>
          <cell r="I273">
            <v>6828</v>
          </cell>
          <cell r="J273">
            <v>1</v>
          </cell>
          <cell r="K273">
            <v>1</v>
          </cell>
          <cell r="L273">
            <v>341</v>
          </cell>
          <cell r="M273">
            <v>2315.9499999999998</v>
          </cell>
          <cell r="N273">
            <v>0</v>
          </cell>
          <cell r="O273">
            <v>0</v>
          </cell>
          <cell r="P273">
            <v>4</v>
          </cell>
          <cell r="Q273">
            <v>190416</v>
          </cell>
        </row>
        <row r="274">
          <cell r="A274">
            <v>273</v>
          </cell>
          <cell r="B274" t="str">
            <v>Pg</v>
          </cell>
          <cell r="C274">
            <v>5</v>
          </cell>
          <cell r="D274">
            <v>10416</v>
          </cell>
          <cell r="E274">
            <v>190416</v>
          </cell>
          <cell r="F274" t="str">
            <v>For</v>
          </cell>
          <cell r="G274">
            <v>1732</v>
          </cell>
          <cell r="H274" t="str">
            <v>INTERG COM E DIST DE ALIMENTOS LTDA</v>
          </cell>
          <cell r="I274">
            <v>580314</v>
          </cell>
          <cell r="J274">
            <v>1</v>
          </cell>
          <cell r="K274">
            <v>1</v>
          </cell>
          <cell r="L274">
            <v>341</v>
          </cell>
          <cell r="M274">
            <v>762.27</v>
          </cell>
          <cell r="N274">
            <v>0</v>
          </cell>
          <cell r="O274">
            <v>0</v>
          </cell>
          <cell r="P274">
            <v>4</v>
          </cell>
          <cell r="Q274">
            <v>190416</v>
          </cell>
        </row>
        <row r="275">
          <cell r="A275">
            <v>274</v>
          </cell>
          <cell r="B275" t="str">
            <v>Pg</v>
          </cell>
          <cell r="C275">
            <v>3</v>
          </cell>
          <cell r="D275">
            <v>10416</v>
          </cell>
          <cell r="E275">
            <v>190416</v>
          </cell>
          <cell r="F275" t="str">
            <v>For</v>
          </cell>
          <cell r="G275">
            <v>1732</v>
          </cell>
          <cell r="H275" t="str">
            <v>INTERG COM E DIST DE ALIMENTOS LTDA</v>
          </cell>
          <cell r="I275">
            <v>580436</v>
          </cell>
          <cell r="J275">
            <v>1</v>
          </cell>
          <cell r="K275">
            <v>1</v>
          </cell>
          <cell r="L275">
            <v>341</v>
          </cell>
          <cell r="M275">
            <v>6409.92</v>
          </cell>
          <cell r="N275">
            <v>0</v>
          </cell>
          <cell r="O275">
            <v>0</v>
          </cell>
          <cell r="P275">
            <v>4</v>
          </cell>
          <cell r="Q275">
            <v>190416</v>
          </cell>
        </row>
        <row r="276">
          <cell r="A276">
            <v>275</v>
          </cell>
          <cell r="B276" t="str">
            <v>Pg</v>
          </cell>
          <cell r="C276">
            <v>6</v>
          </cell>
          <cell r="D276">
            <v>50416</v>
          </cell>
          <cell r="E276">
            <v>190416</v>
          </cell>
          <cell r="F276" t="str">
            <v>For</v>
          </cell>
          <cell r="G276">
            <v>1966</v>
          </cell>
          <cell r="H276" t="str">
            <v>BIG BOX BRASIL IND. E COMERCIO LTDA</v>
          </cell>
          <cell r="I276">
            <v>13650</v>
          </cell>
          <cell r="J276">
            <v>1</v>
          </cell>
          <cell r="K276">
            <v>1</v>
          </cell>
          <cell r="L276">
            <v>341</v>
          </cell>
          <cell r="M276">
            <v>8474.4</v>
          </cell>
          <cell r="N276">
            <v>0</v>
          </cell>
          <cell r="O276">
            <v>0</v>
          </cell>
          <cell r="P276">
            <v>4</v>
          </cell>
          <cell r="Q276">
            <v>190416</v>
          </cell>
        </row>
        <row r="277">
          <cell r="A277">
            <v>276</v>
          </cell>
          <cell r="B277" t="str">
            <v>Pg</v>
          </cell>
          <cell r="C277">
            <v>6</v>
          </cell>
          <cell r="D277">
            <v>130416</v>
          </cell>
          <cell r="E277">
            <v>190416</v>
          </cell>
          <cell r="F277" t="str">
            <v>For</v>
          </cell>
          <cell r="G277">
            <v>1981</v>
          </cell>
          <cell r="H277" t="str">
            <v>MINEIRINHA COM ATACADISTA DE PROD DE HIGIENE LTDA</v>
          </cell>
          <cell r="I277">
            <v>10425</v>
          </cell>
          <cell r="J277">
            <v>1</v>
          </cell>
          <cell r="K277">
            <v>1</v>
          </cell>
          <cell r="L277">
            <v>341</v>
          </cell>
          <cell r="M277">
            <v>984</v>
          </cell>
          <cell r="N277">
            <v>0</v>
          </cell>
          <cell r="O277">
            <v>0</v>
          </cell>
          <cell r="P277">
            <v>4</v>
          </cell>
          <cell r="Q277">
            <v>190416</v>
          </cell>
        </row>
        <row r="278">
          <cell r="A278">
            <v>277</v>
          </cell>
          <cell r="B278" t="str">
            <v>Pg</v>
          </cell>
          <cell r="C278">
            <v>6</v>
          </cell>
          <cell r="D278">
            <v>180416</v>
          </cell>
          <cell r="E278">
            <v>190416</v>
          </cell>
          <cell r="F278" t="str">
            <v>For</v>
          </cell>
          <cell r="G278">
            <v>885</v>
          </cell>
          <cell r="H278" t="str">
            <v>UTIL COMERCIO E CONFECCAO LTDA EPP</v>
          </cell>
          <cell r="I278">
            <v>10143</v>
          </cell>
          <cell r="J278">
            <v>1</v>
          </cell>
          <cell r="K278">
            <v>1</v>
          </cell>
          <cell r="L278">
            <v>341</v>
          </cell>
          <cell r="M278">
            <v>29759.11</v>
          </cell>
          <cell r="N278">
            <v>0</v>
          </cell>
          <cell r="O278">
            <v>0</v>
          </cell>
          <cell r="P278">
            <v>4</v>
          </cell>
          <cell r="Q278">
            <v>190416</v>
          </cell>
        </row>
        <row r="279">
          <cell r="A279">
            <v>278</v>
          </cell>
          <cell r="B279" t="str">
            <v>Pg</v>
          </cell>
          <cell r="C279">
            <v>6</v>
          </cell>
          <cell r="D279">
            <v>180416</v>
          </cell>
          <cell r="E279">
            <v>190416</v>
          </cell>
          <cell r="F279" t="str">
            <v>For</v>
          </cell>
          <cell r="G279">
            <v>2698</v>
          </cell>
          <cell r="H279" t="str">
            <v>ANDREIA APARECIDA DE OLIVEIRA MENDES</v>
          </cell>
          <cell r="I279">
            <v>98</v>
          </cell>
          <cell r="J279">
            <v>1</v>
          </cell>
          <cell r="K279">
            <v>1</v>
          </cell>
          <cell r="L279">
            <v>341</v>
          </cell>
          <cell r="M279">
            <v>8599.5</v>
          </cell>
          <cell r="N279">
            <v>-118</v>
          </cell>
          <cell r="O279">
            <v>0</v>
          </cell>
          <cell r="P279">
            <v>14</v>
          </cell>
          <cell r="Q279">
            <v>190416</v>
          </cell>
        </row>
        <row r="280">
          <cell r="A280">
            <v>279</v>
          </cell>
          <cell r="B280" t="str">
            <v>Pg</v>
          </cell>
          <cell r="C280">
            <v>6</v>
          </cell>
          <cell r="D280">
            <v>150116</v>
          </cell>
          <cell r="E280">
            <v>200416</v>
          </cell>
          <cell r="F280" t="str">
            <v>For</v>
          </cell>
          <cell r="G280">
            <v>2807</v>
          </cell>
          <cell r="H280" t="str">
            <v>COMERCIAL FARTEX - IMP. E EXP. DE ARTIGOS P/ PRES. LTDA</v>
          </cell>
          <cell r="I280">
            <v>4847</v>
          </cell>
          <cell r="J280">
            <v>1</v>
          </cell>
          <cell r="K280">
            <v>1</v>
          </cell>
          <cell r="L280">
            <v>341</v>
          </cell>
          <cell r="M280">
            <v>6400</v>
          </cell>
          <cell r="N280">
            <v>0</v>
          </cell>
          <cell r="O280">
            <v>0</v>
          </cell>
          <cell r="P280">
            <v>4</v>
          </cell>
          <cell r="Q280">
            <v>200416</v>
          </cell>
        </row>
        <row r="281">
          <cell r="A281">
            <v>280</v>
          </cell>
          <cell r="B281" t="str">
            <v>Pg</v>
          </cell>
          <cell r="C281">
            <v>6</v>
          </cell>
          <cell r="D281">
            <v>220116</v>
          </cell>
          <cell r="E281">
            <v>200416</v>
          </cell>
          <cell r="F281" t="str">
            <v>For</v>
          </cell>
          <cell r="G281">
            <v>2663</v>
          </cell>
          <cell r="H281" t="str">
            <v>OLIVEIRA E LOPES LTDA</v>
          </cell>
          <cell r="I281">
            <v>119492</v>
          </cell>
          <cell r="J281">
            <v>3</v>
          </cell>
          <cell r="K281">
            <v>3</v>
          </cell>
          <cell r="L281">
            <v>341</v>
          </cell>
          <cell r="M281">
            <v>4900</v>
          </cell>
          <cell r="N281">
            <v>0</v>
          </cell>
          <cell r="O281">
            <v>0</v>
          </cell>
          <cell r="P281">
            <v>4</v>
          </cell>
          <cell r="Q281">
            <v>200416</v>
          </cell>
        </row>
        <row r="282">
          <cell r="A282">
            <v>281</v>
          </cell>
          <cell r="B282" t="str">
            <v>Pg</v>
          </cell>
          <cell r="C282">
            <v>6</v>
          </cell>
          <cell r="D282">
            <v>240316</v>
          </cell>
          <cell r="E282">
            <v>200416</v>
          </cell>
          <cell r="F282" t="str">
            <v>For</v>
          </cell>
          <cell r="G282">
            <v>2960</v>
          </cell>
          <cell r="H282" t="str">
            <v>CEPNA IND. E COM. DE PROD ELETR LTDA - EPP</v>
          </cell>
          <cell r="I282">
            <v>5981</v>
          </cell>
          <cell r="J282">
            <v>1</v>
          </cell>
          <cell r="K282">
            <v>1</v>
          </cell>
          <cell r="L282">
            <v>999</v>
          </cell>
          <cell r="M282">
            <v>7869.12</v>
          </cell>
          <cell r="N282">
            <v>0</v>
          </cell>
          <cell r="O282">
            <v>0</v>
          </cell>
          <cell r="P282">
            <v>4</v>
          </cell>
          <cell r="Q282">
            <v>190416</v>
          </cell>
        </row>
        <row r="283">
          <cell r="A283">
            <v>282</v>
          </cell>
          <cell r="B283" t="str">
            <v>Pg</v>
          </cell>
          <cell r="C283">
            <v>6</v>
          </cell>
          <cell r="D283">
            <v>300316</v>
          </cell>
          <cell r="E283">
            <v>200416</v>
          </cell>
          <cell r="F283" t="str">
            <v>For</v>
          </cell>
          <cell r="G283">
            <v>267</v>
          </cell>
          <cell r="H283" t="str">
            <v>MIMO IMPORTACAO E EXPORTACAO LTDA</v>
          </cell>
          <cell r="I283">
            <v>90391</v>
          </cell>
          <cell r="J283">
            <v>1</v>
          </cell>
          <cell r="K283">
            <v>2</v>
          </cell>
          <cell r="L283">
            <v>341</v>
          </cell>
          <cell r="M283">
            <v>59.11</v>
          </cell>
          <cell r="N283">
            <v>0</v>
          </cell>
          <cell r="O283">
            <v>0</v>
          </cell>
          <cell r="P283">
            <v>4</v>
          </cell>
          <cell r="Q283">
            <v>200416</v>
          </cell>
        </row>
        <row r="284">
          <cell r="A284">
            <v>283</v>
          </cell>
          <cell r="B284" t="str">
            <v>Pg</v>
          </cell>
          <cell r="C284">
            <v>6</v>
          </cell>
          <cell r="D284">
            <v>310316</v>
          </cell>
          <cell r="E284">
            <v>200416</v>
          </cell>
          <cell r="F284" t="str">
            <v>For</v>
          </cell>
          <cell r="G284">
            <v>931</v>
          </cell>
          <cell r="H284" t="str">
            <v>PEPSICO DO BRASIL LTDA.</v>
          </cell>
          <cell r="I284">
            <v>237819</v>
          </cell>
          <cell r="J284">
            <v>1</v>
          </cell>
          <cell r="K284">
            <v>1</v>
          </cell>
          <cell r="L284">
            <v>341</v>
          </cell>
          <cell r="M284">
            <v>23172.11</v>
          </cell>
          <cell r="N284">
            <v>0</v>
          </cell>
          <cell r="O284">
            <v>0</v>
          </cell>
          <cell r="P284">
            <v>4</v>
          </cell>
          <cell r="Q284">
            <v>200416</v>
          </cell>
        </row>
        <row r="285">
          <cell r="A285">
            <v>284</v>
          </cell>
          <cell r="B285" t="str">
            <v>Pg</v>
          </cell>
          <cell r="C285">
            <v>6</v>
          </cell>
          <cell r="D285">
            <v>50416</v>
          </cell>
          <cell r="E285">
            <v>200416</v>
          </cell>
          <cell r="F285" t="str">
            <v>For</v>
          </cell>
          <cell r="G285">
            <v>1747</v>
          </cell>
          <cell r="H285" t="str">
            <v>TOYPLAST PLASTICOS LTDA</v>
          </cell>
          <cell r="I285">
            <v>49194</v>
          </cell>
          <cell r="J285">
            <v>1</v>
          </cell>
          <cell r="K285">
            <v>1</v>
          </cell>
          <cell r="L285">
            <v>341</v>
          </cell>
          <cell r="M285">
            <v>85065.36</v>
          </cell>
          <cell r="N285">
            <v>0</v>
          </cell>
          <cell r="O285">
            <v>0</v>
          </cell>
          <cell r="P285">
            <v>4</v>
          </cell>
          <cell r="Q285">
            <v>200416</v>
          </cell>
        </row>
        <row r="286">
          <cell r="A286">
            <v>285</v>
          </cell>
          <cell r="B286" t="str">
            <v>Pg</v>
          </cell>
          <cell r="C286">
            <v>6</v>
          </cell>
          <cell r="D286">
            <v>60416</v>
          </cell>
          <cell r="E286">
            <v>200416</v>
          </cell>
          <cell r="F286" t="str">
            <v>For</v>
          </cell>
          <cell r="G286">
            <v>2332</v>
          </cell>
          <cell r="H286" t="str">
            <v>DISTRIBUIDORA DE BRINQUEDOS HOBBY LTDA</v>
          </cell>
          <cell r="I286">
            <v>71252</v>
          </cell>
          <cell r="J286">
            <v>1</v>
          </cell>
          <cell r="K286">
            <v>1</v>
          </cell>
          <cell r="L286">
            <v>341</v>
          </cell>
          <cell r="M286">
            <v>5471.74</v>
          </cell>
          <cell r="N286">
            <v>0</v>
          </cell>
          <cell r="O286">
            <v>0</v>
          </cell>
          <cell r="P286">
            <v>4</v>
          </cell>
          <cell r="Q286">
            <v>200416</v>
          </cell>
        </row>
        <row r="287">
          <cell r="A287">
            <v>286</v>
          </cell>
          <cell r="B287" t="str">
            <v>Pg</v>
          </cell>
          <cell r="C287">
            <v>6</v>
          </cell>
          <cell r="D287">
            <v>60416</v>
          </cell>
          <cell r="E287">
            <v>200416</v>
          </cell>
          <cell r="F287" t="str">
            <v>For</v>
          </cell>
          <cell r="G287">
            <v>2803</v>
          </cell>
          <cell r="H287" t="str">
            <v>MOINHO VELHO PLASTICOS LTDA ME</v>
          </cell>
          <cell r="I287">
            <v>258</v>
          </cell>
          <cell r="J287">
            <v>1</v>
          </cell>
          <cell r="K287">
            <v>1</v>
          </cell>
          <cell r="L287">
            <v>341</v>
          </cell>
          <cell r="M287">
            <v>8000</v>
          </cell>
          <cell r="N287">
            <v>-160</v>
          </cell>
          <cell r="O287">
            <v>0</v>
          </cell>
          <cell r="P287">
            <v>4</v>
          </cell>
          <cell r="Q287">
            <v>200416</v>
          </cell>
        </row>
        <row r="288">
          <cell r="A288">
            <v>287</v>
          </cell>
          <cell r="B288" t="str">
            <v>Pg</v>
          </cell>
          <cell r="C288">
            <v>1</v>
          </cell>
          <cell r="D288">
            <v>70416</v>
          </cell>
          <cell r="E288">
            <v>200416</v>
          </cell>
          <cell r="F288" t="str">
            <v>For</v>
          </cell>
          <cell r="G288">
            <v>996</v>
          </cell>
          <cell r="H288" t="str">
            <v>TOFFANO PRODUTOS ALIMENTICIOS LTDA</v>
          </cell>
          <cell r="I288">
            <v>188441</v>
          </cell>
          <cell r="J288">
            <v>1</v>
          </cell>
          <cell r="K288">
            <v>1</v>
          </cell>
          <cell r="L288">
            <v>341</v>
          </cell>
          <cell r="M288">
            <v>2145.5700000000002</v>
          </cell>
          <cell r="N288">
            <v>0</v>
          </cell>
          <cell r="O288">
            <v>0</v>
          </cell>
          <cell r="P288">
            <v>4</v>
          </cell>
          <cell r="Q288">
            <v>200416</v>
          </cell>
        </row>
        <row r="289">
          <cell r="A289">
            <v>288</v>
          </cell>
          <cell r="B289" t="str">
            <v>Pg</v>
          </cell>
          <cell r="C289">
            <v>6</v>
          </cell>
          <cell r="D289">
            <v>70416</v>
          </cell>
          <cell r="E289">
            <v>200416</v>
          </cell>
          <cell r="F289" t="str">
            <v>For</v>
          </cell>
          <cell r="G289">
            <v>1269</v>
          </cell>
          <cell r="H289" t="str">
            <v>PLASTICOS SANTANA LTDA.</v>
          </cell>
          <cell r="I289">
            <v>74648</v>
          </cell>
          <cell r="J289">
            <v>1</v>
          </cell>
          <cell r="K289">
            <v>1</v>
          </cell>
          <cell r="L289">
            <v>341</v>
          </cell>
          <cell r="M289">
            <v>3261.38</v>
          </cell>
          <cell r="N289">
            <v>0</v>
          </cell>
          <cell r="O289">
            <v>0</v>
          </cell>
          <cell r="P289">
            <v>4</v>
          </cell>
          <cell r="Q289">
            <v>200416</v>
          </cell>
        </row>
        <row r="290">
          <cell r="A290">
            <v>289</v>
          </cell>
          <cell r="B290" t="str">
            <v>Pg</v>
          </cell>
          <cell r="C290">
            <v>6</v>
          </cell>
          <cell r="D290">
            <v>80416</v>
          </cell>
          <cell r="E290">
            <v>200416</v>
          </cell>
          <cell r="F290" t="str">
            <v>For</v>
          </cell>
          <cell r="G290">
            <v>988</v>
          </cell>
          <cell r="H290" t="str">
            <v>TEXTIL J. SERRANO LTDA</v>
          </cell>
          <cell r="I290">
            <v>378276</v>
          </cell>
          <cell r="J290">
            <v>1</v>
          </cell>
          <cell r="K290">
            <v>1</v>
          </cell>
          <cell r="L290">
            <v>341</v>
          </cell>
          <cell r="M290">
            <v>19473.3</v>
          </cell>
          <cell r="N290">
            <v>0</v>
          </cell>
          <cell r="O290">
            <v>0</v>
          </cell>
          <cell r="P290">
            <v>4</v>
          </cell>
          <cell r="Q290">
            <v>200416</v>
          </cell>
        </row>
        <row r="291">
          <cell r="A291">
            <v>290</v>
          </cell>
          <cell r="B291" t="str">
            <v>Pg</v>
          </cell>
          <cell r="C291">
            <v>6</v>
          </cell>
          <cell r="D291">
            <v>110416</v>
          </cell>
          <cell r="E291">
            <v>200416</v>
          </cell>
          <cell r="F291" t="str">
            <v>For</v>
          </cell>
          <cell r="G291">
            <v>2661</v>
          </cell>
          <cell r="H291" t="str">
            <v>BRASFORMA INDUSTRIA E COMERCIO LTDA</v>
          </cell>
          <cell r="I291">
            <v>93173</v>
          </cell>
          <cell r="J291">
            <v>1</v>
          </cell>
          <cell r="K291">
            <v>1</v>
          </cell>
          <cell r="L291">
            <v>341</v>
          </cell>
          <cell r="M291">
            <v>8801.52</v>
          </cell>
          <cell r="N291">
            <v>0</v>
          </cell>
          <cell r="O291">
            <v>0</v>
          </cell>
          <cell r="P291">
            <v>4</v>
          </cell>
          <cell r="Q291">
            <v>200416</v>
          </cell>
        </row>
        <row r="292">
          <cell r="A292">
            <v>291</v>
          </cell>
          <cell r="B292" t="str">
            <v>Pg</v>
          </cell>
          <cell r="C292">
            <v>3</v>
          </cell>
          <cell r="D292">
            <v>110416</v>
          </cell>
          <cell r="E292">
            <v>200416</v>
          </cell>
          <cell r="F292" t="str">
            <v>For</v>
          </cell>
          <cell r="G292">
            <v>996</v>
          </cell>
          <cell r="H292" t="str">
            <v>TOFFANO PRODUTOS ALIMENTICIOS LTDA</v>
          </cell>
          <cell r="I292">
            <v>188448</v>
          </cell>
          <cell r="J292">
            <v>1</v>
          </cell>
          <cell r="K292">
            <v>1</v>
          </cell>
          <cell r="L292">
            <v>341</v>
          </cell>
          <cell r="M292">
            <v>1194.02</v>
          </cell>
          <cell r="N292">
            <v>0</v>
          </cell>
          <cell r="O292">
            <v>0</v>
          </cell>
          <cell r="P292">
            <v>4</v>
          </cell>
          <cell r="Q292">
            <v>200416</v>
          </cell>
        </row>
        <row r="293">
          <cell r="A293">
            <v>292</v>
          </cell>
          <cell r="B293" t="str">
            <v>Pg</v>
          </cell>
          <cell r="C293">
            <v>6</v>
          </cell>
          <cell r="D293">
            <v>120416</v>
          </cell>
          <cell r="E293">
            <v>200416</v>
          </cell>
          <cell r="F293" t="str">
            <v>For</v>
          </cell>
          <cell r="G293">
            <v>958</v>
          </cell>
          <cell r="H293" t="str">
            <v>VARAL ARTEFATOS MADEIRA E PLASTICO LTDA</v>
          </cell>
          <cell r="I293">
            <v>29948</v>
          </cell>
          <cell r="J293">
            <v>1</v>
          </cell>
          <cell r="K293">
            <v>1</v>
          </cell>
          <cell r="L293">
            <v>341</v>
          </cell>
          <cell r="M293">
            <v>24864</v>
          </cell>
          <cell r="N293">
            <v>0</v>
          </cell>
          <cell r="O293">
            <v>0</v>
          </cell>
          <cell r="P293">
            <v>4</v>
          </cell>
          <cell r="Q293">
            <v>200416</v>
          </cell>
        </row>
        <row r="294">
          <cell r="A294">
            <v>293</v>
          </cell>
          <cell r="B294" t="str">
            <v>Pg</v>
          </cell>
          <cell r="C294">
            <v>6</v>
          </cell>
          <cell r="D294">
            <v>130416</v>
          </cell>
          <cell r="E294">
            <v>200416</v>
          </cell>
          <cell r="F294" t="str">
            <v>For</v>
          </cell>
          <cell r="G294">
            <v>2725</v>
          </cell>
          <cell r="H294" t="str">
            <v>BELLA - CLEAN COM. ATAC. DE PROD DE HIG. E BEL. LTDA - ME</v>
          </cell>
          <cell r="I294">
            <v>4540</v>
          </cell>
          <cell r="J294">
            <v>1</v>
          </cell>
          <cell r="K294">
            <v>1</v>
          </cell>
          <cell r="L294">
            <v>341</v>
          </cell>
          <cell r="M294">
            <v>1452</v>
          </cell>
          <cell r="N294">
            <v>0</v>
          </cell>
          <cell r="O294">
            <v>0</v>
          </cell>
          <cell r="P294">
            <v>4</v>
          </cell>
          <cell r="Q294">
            <v>200416</v>
          </cell>
        </row>
        <row r="295">
          <cell r="A295">
            <v>294</v>
          </cell>
          <cell r="B295" t="str">
            <v>Pg</v>
          </cell>
          <cell r="C295">
            <v>6</v>
          </cell>
          <cell r="D295">
            <v>140416</v>
          </cell>
          <cell r="E295">
            <v>200416</v>
          </cell>
          <cell r="F295" t="str">
            <v>For</v>
          </cell>
          <cell r="G295">
            <v>1267</v>
          </cell>
          <cell r="H295" t="str">
            <v>MALTA IND.DE PROD.ALIMENTICIOS LTDA.-EPP</v>
          </cell>
          <cell r="I295">
            <v>5612</v>
          </cell>
          <cell r="J295">
            <v>1</v>
          </cell>
          <cell r="K295">
            <v>1</v>
          </cell>
          <cell r="L295">
            <v>341</v>
          </cell>
          <cell r="M295">
            <v>2572.4</v>
          </cell>
          <cell r="N295">
            <v>0</v>
          </cell>
          <cell r="O295">
            <v>0</v>
          </cell>
          <cell r="P295">
            <v>4</v>
          </cell>
          <cell r="Q295">
            <v>200416</v>
          </cell>
        </row>
        <row r="296">
          <cell r="A296">
            <v>295</v>
          </cell>
          <cell r="B296" t="str">
            <v>Pg</v>
          </cell>
          <cell r="C296">
            <v>3</v>
          </cell>
          <cell r="D296">
            <v>180416</v>
          </cell>
          <cell r="E296">
            <v>200416</v>
          </cell>
          <cell r="F296" t="str">
            <v>For</v>
          </cell>
          <cell r="G296">
            <v>1911</v>
          </cell>
          <cell r="H296" t="str">
            <v>ISABEL APARECIDA LOPES PINHEIRO</v>
          </cell>
          <cell r="I296">
            <v>9698</v>
          </cell>
          <cell r="J296">
            <v>1</v>
          </cell>
          <cell r="K296">
            <v>1</v>
          </cell>
          <cell r="L296">
            <v>237</v>
          </cell>
          <cell r="M296">
            <v>720</v>
          </cell>
          <cell r="N296">
            <v>0</v>
          </cell>
          <cell r="O296">
            <v>0</v>
          </cell>
          <cell r="P296">
            <v>14</v>
          </cell>
          <cell r="Q296">
            <v>200416</v>
          </cell>
        </row>
        <row r="297">
          <cell r="A297">
            <v>296</v>
          </cell>
          <cell r="B297" t="str">
            <v>Pg</v>
          </cell>
          <cell r="C297">
            <v>5</v>
          </cell>
          <cell r="D297">
            <v>190416</v>
          </cell>
          <cell r="E297">
            <v>200416</v>
          </cell>
          <cell r="F297" t="str">
            <v>For</v>
          </cell>
          <cell r="G297">
            <v>2334</v>
          </cell>
          <cell r="H297" t="str">
            <v>EUNICE AFONSO PACHECO</v>
          </cell>
          <cell r="I297">
            <v>101</v>
          </cell>
          <cell r="J297">
            <v>1</v>
          </cell>
          <cell r="K297">
            <v>1</v>
          </cell>
          <cell r="L297">
            <v>341</v>
          </cell>
          <cell r="M297">
            <v>866</v>
          </cell>
          <cell r="N297">
            <v>0</v>
          </cell>
          <cell r="O297">
            <v>0</v>
          </cell>
          <cell r="P297">
            <v>14</v>
          </cell>
          <cell r="Q297">
            <v>200416</v>
          </cell>
        </row>
        <row r="298">
          <cell r="A298">
            <v>297</v>
          </cell>
          <cell r="B298" t="str">
            <v>Pg</v>
          </cell>
          <cell r="C298">
            <v>8</v>
          </cell>
          <cell r="D298">
            <v>190416</v>
          </cell>
          <cell r="E298">
            <v>200416</v>
          </cell>
          <cell r="F298" t="str">
            <v>For</v>
          </cell>
          <cell r="G298">
            <v>1911</v>
          </cell>
          <cell r="H298" t="str">
            <v>ISABEL APARECIDA LOPES PINHEIRO</v>
          </cell>
          <cell r="I298">
            <v>2306</v>
          </cell>
          <cell r="J298">
            <v>1</v>
          </cell>
          <cell r="K298">
            <v>1</v>
          </cell>
          <cell r="L298">
            <v>237</v>
          </cell>
          <cell r="M298">
            <v>760</v>
          </cell>
          <cell r="N298">
            <v>0</v>
          </cell>
          <cell r="O298">
            <v>0</v>
          </cell>
          <cell r="P298">
            <v>14</v>
          </cell>
          <cell r="Q298">
            <v>200416</v>
          </cell>
        </row>
        <row r="299">
          <cell r="A299">
            <v>298</v>
          </cell>
          <cell r="B299" t="str">
            <v>Pg</v>
          </cell>
          <cell r="C299">
            <v>1</v>
          </cell>
          <cell r="D299">
            <v>190416</v>
          </cell>
          <cell r="E299">
            <v>200416</v>
          </cell>
          <cell r="F299" t="str">
            <v>For</v>
          </cell>
          <cell r="G299">
            <v>1911</v>
          </cell>
          <cell r="H299" t="str">
            <v>ISABEL APARECIDA LOPES PINHEIRO</v>
          </cell>
          <cell r="I299">
            <v>5475</v>
          </cell>
          <cell r="J299">
            <v>1</v>
          </cell>
          <cell r="K299">
            <v>1</v>
          </cell>
          <cell r="L299">
            <v>237</v>
          </cell>
          <cell r="M299">
            <v>1570</v>
          </cell>
          <cell r="N299">
            <v>0</v>
          </cell>
          <cell r="O299">
            <v>0</v>
          </cell>
          <cell r="P299">
            <v>14</v>
          </cell>
          <cell r="Q299">
            <v>200416</v>
          </cell>
        </row>
        <row r="300">
          <cell r="A300">
            <v>299</v>
          </cell>
          <cell r="B300" t="str">
            <v>Pg</v>
          </cell>
          <cell r="C300">
            <v>5</v>
          </cell>
          <cell r="D300">
            <v>190416</v>
          </cell>
          <cell r="E300">
            <v>200416</v>
          </cell>
          <cell r="F300" t="str">
            <v>For</v>
          </cell>
          <cell r="G300">
            <v>1911</v>
          </cell>
          <cell r="H300" t="str">
            <v>ISABEL APARECIDA LOPES PINHEIRO</v>
          </cell>
          <cell r="I300">
            <v>5212</v>
          </cell>
          <cell r="J300">
            <v>1</v>
          </cell>
          <cell r="K300">
            <v>1</v>
          </cell>
          <cell r="L300">
            <v>237</v>
          </cell>
          <cell r="M300">
            <v>405</v>
          </cell>
          <cell r="N300">
            <v>0</v>
          </cell>
          <cell r="O300">
            <v>0</v>
          </cell>
          <cell r="P300">
            <v>14</v>
          </cell>
          <cell r="Q300">
            <v>200416</v>
          </cell>
        </row>
        <row r="301">
          <cell r="A301">
            <v>300</v>
          </cell>
          <cell r="B301" t="str">
            <v>Pg</v>
          </cell>
          <cell r="C301">
            <v>6</v>
          </cell>
          <cell r="D301">
            <v>90316</v>
          </cell>
          <cell r="E301">
            <v>210416</v>
          </cell>
          <cell r="F301" t="str">
            <v>For</v>
          </cell>
          <cell r="G301">
            <v>1009</v>
          </cell>
          <cell r="H301" t="str">
            <v>DORI IND.COM.PROD.ALIMENT.LTDA</v>
          </cell>
          <cell r="I301">
            <v>611595</v>
          </cell>
          <cell r="J301">
            <v>2</v>
          </cell>
          <cell r="K301">
            <v>3</v>
          </cell>
          <cell r="L301">
            <v>341</v>
          </cell>
          <cell r="M301">
            <v>3633.81</v>
          </cell>
          <cell r="N301">
            <v>0</v>
          </cell>
          <cell r="O301">
            <v>0</v>
          </cell>
          <cell r="P301">
            <v>4</v>
          </cell>
          <cell r="Q301">
            <v>200416</v>
          </cell>
        </row>
        <row r="302">
          <cell r="A302">
            <v>301</v>
          </cell>
          <cell r="B302" t="str">
            <v>Pg</v>
          </cell>
          <cell r="C302">
            <v>6</v>
          </cell>
          <cell r="D302">
            <v>50416</v>
          </cell>
          <cell r="E302">
            <v>210416</v>
          </cell>
          <cell r="F302" t="str">
            <v>For</v>
          </cell>
          <cell r="G302">
            <v>2200</v>
          </cell>
          <cell r="H302" t="str">
            <v>INTERBRILHO HIGIENE E LIMPEZA LTDA</v>
          </cell>
          <cell r="I302">
            <v>71691</v>
          </cell>
          <cell r="J302">
            <v>1</v>
          </cell>
          <cell r="K302">
            <v>1</v>
          </cell>
          <cell r="L302">
            <v>341</v>
          </cell>
          <cell r="M302">
            <v>17310.650000000001</v>
          </cell>
          <cell r="N302">
            <v>0</v>
          </cell>
          <cell r="O302">
            <v>0</v>
          </cell>
          <cell r="P302">
            <v>4</v>
          </cell>
          <cell r="Q302">
            <v>200416</v>
          </cell>
        </row>
        <row r="303">
          <cell r="A303">
            <v>302</v>
          </cell>
          <cell r="B303" t="str">
            <v>Pg</v>
          </cell>
          <cell r="C303">
            <v>6</v>
          </cell>
          <cell r="D303">
            <v>70416</v>
          </cell>
          <cell r="E303">
            <v>210416</v>
          </cell>
          <cell r="F303" t="str">
            <v>For</v>
          </cell>
          <cell r="G303">
            <v>1028</v>
          </cell>
          <cell r="H303" t="str">
            <v>PLASTOY INDUSTRIAL DE PLASTICOS LTDA</v>
          </cell>
          <cell r="I303">
            <v>35902</v>
          </cell>
          <cell r="J303">
            <v>1</v>
          </cell>
          <cell r="K303">
            <v>1</v>
          </cell>
          <cell r="L303">
            <v>341</v>
          </cell>
          <cell r="M303">
            <v>5295.29</v>
          </cell>
          <cell r="N303">
            <v>0</v>
          </cell>
          <cell r="O303">
            <v>0</v>
          </cell>
          <cell r="P303">
            <v>4</v>
          </cell>
          <cell r="Q303">
            <v>200416</v>
          </cell>
        </row>
        <row r="304">
          <cell r="A304">
            <v>303</v>
          </cell>
          <cell r="B304" t="str">
            <v>Pg</v>
          </cell>
          <cell r="C304">
            <v>6</v>
          </cell>
          <cell r="D304">
            <v>120416</v>
          </cell>
          <cell r="E304">
            <v>210416</v>
          </cell>
          <cell r="F304" t="str">
            <v>For</v>
          </cell>
          <cell r="G304">
            <v>2957</v>
          </cell>
          <cell r="H304" t="str">
            <v>ESTAMPARIA DE ALUMINIO OLIVEIRA LTDA - EPP</v>
          </cell>
          <cell r="I304">
            <v>2689</v>
          </cell>
          <cell r="J304">
            <v>1</v>
          </cell>
          <cell r="K304">
            <v>1</v>
          </cell>
          <cell r="L304">
            <v>341</v>
          </cell>
          <cell r="M304">
            <v>20080.48</v>
          </cell>
          <cell r="N304">
            <v>0</v>
          </cell>
          <cell r="O304">
            <v>0</v>
          </cell>
          <cell r="P304">
            <v>4</v>
          </cell>
          <cell r="Q304">
            <v>200416</v>
          </cell>
        </row>
        <row r="305">
          <cell r="A305">
            <v>304</v>
          </cell>
          <cell r="B305" t="str">
            <v>Pg</v>
          </cell>
          <cell r="C305">
            <v>6</v>
          </cell>
          <cell r="D305">
            <v>120416</v>
          </cell>
          <cell r="E305">
            <v>210416</v>
          </cell>
          <cell r="F305" t="str">
            <v>For</v>
          </cell>
          <cell r="G305">
            <v>988</v>
          </cell>
          <cell r="H305" t="str">
            <v>TEXTIL J. SERRANO LTDA</v>
          </cell>
          <cell r="I305">
            <v>378456</v>
          </cell>
          <cell r="J305">
            <v>1</v>
          </cell>
          <cell r="K305">
            <v>1</v>
          </cell>
          <cell r="L305">
            <v>341</v>
          </cell>
          <cell r="M305">
            <v>6302.45</v>
          </cell>
          <cell r="N305">
            <v>0</v>
          </cell>
          <cell r="O305">
            <v>0</v>
          </cell>
          <cell r="P305">
            <v>4</v>
          </cell>
          <cell r="Q305">
            <v>200416</v>
          </cell>
        </row>
        <row r="306">
          <cell r="A306">
            <v>305</v>
          </cell>
          <cell r="B306" t="str">
            <v>Pg</v>
          </cell>
          <cell r="C306">
            <v>6</v>
          </cell>
          <cell r="D306">
            <v>120416</v>
          </cell>
          <cell r="E306">
            <v>210416</v>
          </cell>
          <cell r="F306" t="str">
            <v>For</v>
          </cell>
          <cell r="G306">
            <v>988</v>
          </cell>
          <cell r="H306" t="str">
            <v>TEXTIL J. SERRANO LTDA</v>
          </cell>
          <cell r="I306">
            <v>378459</v>
          </cell>
          <cell r="J306">
            <v>1</v>
          </cell>
          <cell r="K306">
            <v>1</v>
          </cell>
          <cell r="L306">
            <v>341</v>
          </cell>
          <cell r="M306">
            <v>2944.2</v>
          </cell>
          <cell r="N306">
            <v>0</v>
          </cell>
          <cell r="O306">
            <v>0</v>
          </cell>
          <cell r="P306">
            <v>4</v>
          </cell>
          <cell r="Q306">
            <v>200416</v>
          </cell>
        </row>
        <row r="307">
          <cell r="A307">
            <v>306</v>
          </cell>
          <cell r="B307" t="str">
            <v>Pg</v>
          </cell>
          <cell r="C307">
            <v>6</v>
          </cell>
          <cell r="D307">
            <v>130416</v>
          </cell>
          <cell r="E307">
            <v>210416</v>
          </cell>
          <cell r="F307" t="str">
            <v>For</v>
          </cell>
          <cell r="G307">
            <v>1520</v>
          </cell>
          <cell r="H307" t="str">
            <v>TRAMONTINA FARROUPILHA S.A.</v>
          </cell>
          <cell r="I307">
            <v>183590</v>
          </cell>
          <cell r="J307">
            <v>1</v>
          </cell>
          <cell r="K307">
            <v>1</v>
          </cell>
          <cell r="L307">
            <v>341</v>
          </cell>
          <cell r="M307">
            <v>3954.75</v>
          </cell>
          <cell r="N307">
            <v>0</v>
          </cell>
          <cell r="O307">
            <v>0</v>
          </cell>
          <cell r="P307">
            <v>4</v>
          </cell>
          <cell r="Q307">
            <v>200416</v>
          </cell>
        </row>
        <row r="308">
          <cell r="A308">
            <v>307</v>
          </cell>
          <cell r="B308" t="str">
            <v>Pg</v>
          </cell>
          <cell r="C308">
            <v>6</v>
          </cell>
          <cell r="D308">
            <v>150416</v>
          </cell>
          <cell r="E308">
            <v>210416</v>
          </cell>
          <cell r="F308" t="str">
            <v>For</v>
          </cell>
          <cell r="G308">
            <v>1855</v>
          </cell>
          <cell r="H308" t="str">
            <v>PLASDURAN OFFICE INDUSTRIA DE PLASTICOS LTDA.</v>
          </cell>
          <cell r="I308">
            <v>35316</v>
          </cell>
          <cell r="J308">
            <v>1</v>
          </cell>
          <cell r="K308">
            <v>1</v>
          </cell>
          <cell r="L308">
            <v>341</v>
          </cell>
          <cell r="M308">
            <v>14771.24</v>
          </cell>
          <cell r="N308">
            <v>0</v>
          </cell>
          <cell r="O308">
            <v>0</v>
          </cell>
          <cell r="P308">
            <v>4</v>
          </cell>
          <cell r="Q308">
            <v>200416</v>
          </cell>
        </row>
        <row r="309">
          <cell r="A309">
            <v>308</v>
          </cell>
          <cell r="B309" t="str">
            <v>Pg</v>
          </cell>
          <cell r="C309">
            <v>6</v>
          </cell>
          <cell r="D309">
            <v>150416</v>
          </cell>
          <cell r="E309">
            <v>210416</v>
          </cell>
          <cell r="F309" t="str">
            <v>For</v>
          </cell>
          <cell r="G309">
            <v>2096</v>
          </cell>
          <cell r="H309" t="str">
            <v>M. DIAS BRANCO S.A. INDUSTRIA E COM DE ALIMENTOS</v>
          </cell>
          <cell r="I309">
            <v>195268</v>
          </cell>
          <cell r="J309">
            <v>1</v>
          </cell>
          <cell r="K309">
            <v>1</v>
          </cell>
          <cell r="L309">
            <v>341</v>
          </cell>
          <cell r="M309">
            <v>1754.27</v>
          </cell>
          <cell r="N309">
            <v>0</v>
          </cell>
          <cell r="O309">
            <v>0</v>
          </cell>
          <cell r="P309">
            <v>4</v>
          </cell>
          <cell r="Q309">
            <v>200416</v>
          </cell>
        </row>
        <row r="310">
          <cell r="A310">
            <v>309</v>
          </cell>
          <cell r="B310" t="str">
            <v>Pg</v>
          </cell>
          <cell r="C310">
            <v>6</v>
          </cell>
          <cell r="D310">
            <v>80316</v>
          </cell>
          <cell r="E310">
            <v>220416</v>
          </cell>
          <cell r="F310" t="str">
            <v>For</v>
          </cell>
          <cell r="G310">
            <v>40</v>
          </cell>
          <cell r="H310" t="str">
            <v>H8 COM. IMP. E EXPORTACAO LTDA.</v>
          </cell>
          <cell r="I310">
            <v>21529</v>
          </cell>
          <cell r="J310">
            <v>3</v>
          </cell>
          <cell r="K310">
            <v>3</v>
          </cell>
          <cell r="L310">
            <v>341</v>
          </cell>
          <cell r="M310">
            <v>30186.25</v>
          </cell>
          <cell r="N310">
            <v>0</v>
          </cell>
          <cell r="O310">
            <v>0</v>
          </cell>
          <cell r="P310">
            <v>4</v>
          </cell>
          <cell r="Q310">
            <v>220416</v>
          </cell>
        </row>
        <row r="311">
          <cell r="A311">
            <v>310</v>
          </cell>
          <cell r="B311" t="str">
            <v>Pg</v>
          </cell>
          <cell r="C311">
            <v>3</v>
          </cell>
          <cell r="D311">
            <v>180316</v>
          </cell>
          <cell r="E311">
            <v>220416</v>
          </cell>
          <cell r="F311" t="str">
            <v>For</v>
          </cell>
          <cell r="G311">
            <v>2316</v>
          </cell>
          <cell r="H311" t="str">
            <v>NOVA CAMPINAS DISTRIBUIDORA DE ALIMENTOS LTDA</v>
          </cell>
          <cell r="I311">
            <v>289607</v>
          </cell>
          <cell r="J311">
            <v>2</v>
          </cell>
          <cell r="K311">
            <v>2</v>
          </cell>
          <cell r="L311">
            <v>341</v>
          </cell>
          <cell r="M311">
            <v>1695</v>
          </cell>
          <cell r="N311">
            <v>0</v>
          </cell>
          <cell r="O311">
            <v>0</v>
          </cell>
          <cell r="P311">
            <v>4</v>
          </cell>
          <cell r="Q311">
            <v>220416</v>
          </cell>
        </row>
        <row r="312">
          <cell r="A312">
            <v>311</v>
          </cell>
          <cell r="B312" t="str">
            <v>Pg</v>
          </cell>
          <cell r="C312">
            <v>1</v>
          </cell>
          <cell r="D312">
            <v>180316</v>
          </cell>
          <cell r="E312">
            <v>220416</v>
          </cell>
          <cell r="F312" t="str">
            <v>For</v>
          </cell>
          <cell r="G312">
            <v>2316</v>
          </cell>
          <cell r="H312" t="str">
            <v>NOVA CAMPINAS DISTRIBUIDORA DE ALIMENTOS LTDA</v>
          </cell>
          <cell r="I312">
            <v>289504</v>
          </cell>
          <cell r="J312">
            <v>2</v>
          </cell>
          <cell r="K312">
            <v>2</v>
          </cell>
          <cell r="L312">
            <v>341</v>
          </cell>
          <cell r="M312">
            <v>1533</v>
          </cell>
          <cell r="N312">
            <v>0</v>
          </cell>
          <cell r="O312">
            <v>0</v>
          </cell>
          <cell r="P312">
            <v>4</v>
          </cell>
          <cell r="Q312">
            <v>220416</v>
          </cell>
        </row>
        <row r="313">
          <cell r="A313">
            <v>312</v>
          </cell>
          <cell r="B313" t="str">
            <v>Pg</v>
          </cell>
          <cell r="C313">
            <v>5</v>
          </cell>
          <cell r="D313">
            <v>180316</v>
          </cell>
          <cell r="E313">
            <v>220416</v>
          </cell>
          <cell r="F313" t="str">
            <v>For</v>
          </cell>
          <cell r="G313">
            <v>2316</v>
          </cell>
          <cell r="H313" t="str">
            <v>NOVA CAMPINAS DISTRIBUIDORA DE ALIMENTOS LTDA</v>
          </cell>
          <cell r="I313">
            <v>289505</v>
          </cell>
          <cell r="J313">
            <v>2</v>
          </cell>
          <cell r="K313">
            <v>2</v>
          </cell>
          <cell r="L313">
            <v>341</v>
          </cell>
          <cell r="M313">
            <v>1570.5</v>
          </cell>
          <cell r="N313">
            <v>0</v>
          </cell>
          <cell r="O313">
            <v>0</v>
          </cell>
          <cell r="P313">
            <v>4</v>
          </cell>
          <cell r="Q313">
            <v>220416</v>
          </cell>
        </row>
        <row r="314">
          <cell r="A314">
            <v>313</v>
          </cell>
          <cell r="B314" t="str">
            <v>Pg</v>
          </cell>
          <cell r="C314">
            <v>9</v>
          </cell>
          <cell r="D314">
            <v>240316</v>
          </cell>
          <cell r="E314">
            <v>220416</v>
          </cell>
          <cell r="F314" t="str">
            <v>For</v>
          </cell>
          <cell r="G314">
            <v>2316</v>
          </cell>
          <cell r="H314" t="str">
            <v>NOVA CAMPINAS DISTRIBUIDORA DE ALIMENTOS LTDA</v>
          </cell>
          <cell r="I314">
            <v>289772</v>
          </cell>
          <cell r="J314">
            <v>2</v>
          </cell>
          <cell r="K314">
            <v>2</v>
          </cell>
          <cell r="L314">
            <v>341</v>
          </cell>
          <cell r="M314">
            <v>523.5</v>
          </cell>
          <cell r="N314">
            <v>0</v>
          </cell>
          <cell r="O314">
            <v>0</v>
          </cell>
          <cell r="P314">
            <v>4</v>
          </cell>
          <cell r="Q314">
            <v>220416</v>
          </cell>
        </row>
        <row r="315">
          <cell r="A315">
            <v>314</v>
          </cell>
          <cell r="B315" t="str">
            <v>Pg</v>
          </cell>
          <cell r="C315">
            <v>6</v>
          </cell>
          <cell r="D315">
            <v>40416</v>
          </cell>
          <cell r="E315">
            <v>220416</v>
          </cell>
          <cell r="F315" t="str">
            <v>For</v>
          </cell>
          <cell r="G315">
            <v>2963</v>
          </cell>
          <cell r="H315" t="str">
            <v>DANVIN - DEVITRO IND E COM. DE VIDROS EIRELI - EPP</v>
          </cell>
          <cell r="I315">
            <v>12907</v>
          </cell>
          <cell r="J315">
            <v>1</v>
          </cell>
          <cell r="K315">
            <v>1</v>
          </cell>
          <cell r="L315">
            <v>341</v>
          </cell>
          <cell r="M315">
            <v>35884.019999999997</v>
          </cell>
          <cell r="N315">
            <v>0</v>
          </cell>
          <cell r="O315">
            <v>0</v>
          </cell>
          <cell r="P315">
            <v>4</v>
          </cell>
          <cell r="Q315">
            <v>220416</v>
          </cell>
        </row>
        <row r="316">
          <cell r="A316">
            <v>315</v>
          </cell>
          <cell r="B316" t="str">
            <v>Pg</v>
          </cell>
          <cell r="C316">
            <v>6</v>
          </cell>
          <cell r="D316">
            <v>80416</v>
          </cell>
          <cell r="E316">
            <v>220416</v>
          </cell>
          <cell r="F316" t="str">
            <v>For</v>
          </cell>
          <cell r="G316">
            <v>920</v>
          </cell>
          <cell r="H316" t="str">
            <v>ARCOM S/A</v>
          </cell>
          <cell r="I316">
            <v>3998810</v>
          </cell>
          <cell r="J316">
            <v>1</v>
          </cell>
          <cell r="K316">
            <v>1</v>
          </cell>
          <cell r="L316">
            <v>999</v>
          </cell>
          <cell r="M316">
            <v>7181.35</v>
          </cell>
          <cell r="N316">
            <v>0</v>
          </cell>
          <cell r="O316">
            <v>0</v>
          </cell>
          <cell r="P316">
            <v>4</v>
          </cell>
          <cell r="Q316">
            <v>200416</v>
          </cell>
        </row>
        <row r="317">
          <cell r="A317">
            <v>316</v>
          </cell>
          <cell r="B317" t="str">
            <v>Pg</v>
          </cell>
          <cell r="C317">
            <v>6</v>
          </cell>
          <cell r="D317">
            <v>110416</v>
          </cell>
          <cell r="E317">
            <v>220416</v>
          </cell>
          <cell r="F317" t="str">
            <v>For</v>
          </cell>
          <cell r="G317">
            <v>1005</v>
          </cell>
          <cell r="H317" t="str">
            <v>IND DE PROD ALIM CORY LDTA</v>
          </cell>
          <cell r="I317">
            <v>50455</v>
          </cell>
          <cell r="J317">
            <v>1</v>
          </cell>
          <cell r="K317">
            <v>1</v>
          </cell>
          <cell r="L317">
            <v>341</v>
          </cell>
          <cell r="M317">
            <v>12437.49</v>
          </cell>
          <cell r="N317">
            <v>0</v>
          </cell>
          <cell r="O317">
            <v>0</v>
          </cell>
          <cell r="P317">
            <v>4</v>
          </cell>
          <cell r="Q317">
            <v>220416</v>
          </cell>
        </row>
        <row r="318">
          <cell r="A318">
            <v>317</v>
          </cell>
          <cell r="B318" t="str">
            <v>Pg</v>
          </cell>
          <cell r="C318">
            <v>3</v>
          </cell>
          <cell r="D318">
            <v>110416</v>
          </cell>
          <cell r="E318">
            <v>220416</v>
          </cell>
          <cell r="F318" t="str">
            <v>For</v>
          </cell>
          <cell r="G318">
            <v>2901</v>
          </cell>
          <cell r="H318" t="str">
            <v>S M TIETE INDUSTRIA E COMERCIO DE ALIMENTOS LTDA</v>
          </cell>
          <cell r="I318">
            <v>3394</v>
          </cell>
          <cell r="J318">
            <v>1</v>
          </cell>
          <cell r="K318">
            <v>1</v>
          </cell>
          <cell r="L318">
            <v>341</v>
          </cell>
          <cell r="M318">
            <v>474.88</v>
          </cell>
          <cell r="N318">
            <v>0</v>
          </cell>
          <cell r="O318">
            <v>0</v>
          </cell>
          <cell r="P318">
            <v>4</v>
          </cell>
          <cell r="Q318">
            <v>220416</v>
          </cell>
        </row>
        <row r="319">
          <cell r="A319">
            <v>318</v>
          </cell>
          <cell r="B319" t="str">
            <v>Pg</v>
          </cell>
          <cell r="C319">
            <v>5</v>
          </cell>
          <cell r="D319">
            <v>120416</v>
          </cell>
          <cell r="E319">
            <v>220416</v>
          </cell>
          <cell r="F319" t="str">
            <v>For</v>
          </cell>
          <cell r="G319">
            <v>2901</v>
          </cell>
          <cell r="H319" t="str">
            <v>S M TIETE INDUSTRIA E COMERCIO DE ALIMENTOS LTDA</v>
          </cell>
          <cell r="I319">
            <v>3393</v>
          </cell>
          <cell r="J319">
            <v>1</v>
          </cell>
          <cell r="K319">
            <v>1</v>
          </cell>
          <cell r="L319">
            <v>341</v>
          </cell>
          <cell r="M319">
            <v>791.47</v>
          </cell>
          <cell r="N319">
            <v>0</v>
          </cell>
          <cell r="O319">
            <v>0</v>
          </cell>
          <cell r="P319">
            <v>4</v>
          </cell>
          <cell r="Q319">
            <v>220416</v>
          </cell>
        </row>
        <row r="320">
          <cell r="A320">
            <v>319</v>
          </cell>
          <cell r="B320" t="str">
            <v>Pg</v>
          </cell>
          <cell r="C320">
            <v>1</v>
          </cell>
          <cell r="D320">
            <v>120416</v>
          </cell>
          <cell r="E320">
            <v>220416</v>
          </cell>
          <cell r="F320" t="str">
            <v>For</v>
          </cell>
          <cell r="G320">
            <v>2901</v>
          </cell>
          <cell r="H320" t="str">
            <v>S M TIETE INDUSTRIA E COMERCIO DE ALIMENTOS LTDA</v>
          </cell>
          <cell r="I320">
            <v>3392</v>
          </cell>
          <cell r="J320">
            <v>1</v>
          </cell>
          <cell r="K320">
            <v>1</v>
          </cell>
          <cell r="L320">
            <v>341</v>
          </cell>
          <cell r="M320">
            <v>659.56</v>
          </cell>
          <cell r="N320">
            <v>0</v>
          </cell>
          <cell r="O320">
            <v>0</v>
          </cell>
          <cell r="P320">
            <v>4</v>
          </cell>
          <cell r="Q320">
            <v>220416</v>
          </cell>
        </row>
        <row r="321">
          <cell r="A321">
            <v>320</v>
          </cell>
          <cell r="B321" t="str">
            <v>Pg</v>
          </cell>
          <cell r="C321">
            <v>6</v>
          </cell>
          <cell r="D321">
            <v>120416</v>
          </cell>
          <cell r="E321">
            <v>220416</v>
          </cell>
          <cell r="F321" t="str">
            <v>For</v>
          </cell>
          <cell r="G321">
            <v>1687</v>
          </cell>
          <cell r="H321" t="str">
            <v>OASIS INDUSTRIA E COMERCIO DE TAPETES E FORRACOES LTDA</v>
          </cell>
          <cell r="I321">
            <v>24308</v>
          </cell>
          <cell r="J321">
            <v>1</v>
          </cell>
          <cell r="K321">
            <v>1</v>
          </cell>
          <cell r="L321">
            <v>341</v>
          </cell>
          <cell r="M321">
            <v>59767.4</v>
          </cell>
          <cell r="N321">
            <v>0</v>
          </cell>
          <cell r="O321">
            <v>0</v>
          </cell>
          <cell r="P321">
            <v>4</v>
          </cell>
          <cell r="Q321">
            <v>220416</v>
          </cell>
        </row>
        <row r="322">
          <cell r="A322">
            <v>321</v>
          </cell>
          <cell r="B322" t="str">
            <v>Pg</v>
          </cell>
          <cell r="C322">
            <v>6</v>
          </cell>
          <cell r="D322">
            <v>120416</v>
          </cell>
          <cell r="E322">
            <v>220416</v>
          </cell>
          <cell r="F322" t="str">
            <v>For</v>
          </cell>
          <cell r="G322">
            <v>2289</v>
          </cell>
          <cell r="H322" t="str">
            <v>FINI FRANQUEADORA LTDA</v>
          </cell>
          <cell r="I322">
            <v>140479</v>
          </cell>
          <cell r="J322">
            <v>1</v>
          </cell>
          <cell r="K322">
            <v>1</v>
          </cell>
          <cell r="L322">
            <v>341</v>
          </cell>
          <cell r="M322">
            <v>28314.19</v>
          </cell>
          <cell r="N322">
            <v>0</v>
          </cell>
          <cell r="O322">
            <v>0</v>
          </cell>
          <cell r="P322">
            <v>4</v>
          </cell>
          <cell r="Q322">
            <v>220416</v>
          </cell>
        </row>
        <row r="323">
          <cell r="A323">
            <v>322</v>
          </cell>
          <cell r="B323" t="str">
            <v>Pg</v>
          </cell>
          <cell r="C323">
            <v>6</v>
          </cell>
          <cell r="D323">
            <v>120416</v>
          </cell>
          <cell r="E323">
            <v>220416</v>
          </cell>
          <cell r="F323" t="str">
            <v>For</v>
          </cell>
          <cell r="G323">
            <v>1437</v>
          </cell>
          <cell r="H323" t="str">
            <v>CILASI ALIMENTOS S/A</v>
          </cell>
          <cell r="I323">
            <v>139688</v>
          </cell>
          <cell r="J323">
            <v>1</v>
          </cell>
          <cell r="K323">
            <v>1</v>
          </cell>
          <cell r="L323">
            <v>341</v>
          </cell>
          <cell r="M323">
            <v>10944</v>
          </cell>
          <cell r="N323">
            <v>0</v>
          </cell>
          <cell r="O323">
            <v>0</v>
          </cell>
          <cell r="P323">
            <v>4</v>
          </cell>
          <cell r="Q323">
            <v>220416</v>
          </cell>
        </row>
        <row r="324">
          <cell r="A324">
            <v>323</v>
          </cell>
          <cell r="B324" t="str">
            <v>Pg</v>
          </cell>
          <cell r="C324">
            <v>6</v>
          </cell>
          <cell r="D324">
            <v>140416</v>
          </cell>
          <cell r="E324">
            <v>220416</v>
          </cell>
          <cell r="F324" t="str">
            <v>For</v>
          </cell>
          <cell r="G324">
            <v>1693</v>
          </cell>
          <cell r="H324" t="str">
            <v>NIQUELPLAST IND COM  ART  PLAST ARAM  LTDA</v>
          </cell>
          <cell r="I324">
            <v>39616</v>
          </cell>
          <cell r="J324">
            <v>1</v>
          </cell>
          <cell r="K324">
            <v>1</v>
          </cell>
          <cell r="L324">
            <v>341</v>
          </cell>
          <cell r="M324">
            <v>25985.84</v>
          </cell>
          <cell r="N324">
            <v>0</v>
          </cell>
          <cell r="O324">
            <v>0</v>
          </cell>
          <cell r="P324">
            <v>4</v>
          </cell>
          <cell r="Q324">
            <v>220416</v>
          </cell>
        </row>
        <row r="325">
          <cell r="A325">
            <v>324</v>
          </cell>
          <cell r="B325" t="str">
            <v>Pg</v>
          </cell>
          <cell r="C325">
            <v>6</v>
          </cell>
          <cell r="D325">
            <v>140416</v>
          </cell>
          <cell r="E325">
            <v>220416</v>
          </cell>
          <cell r="F325" t="str">
            <v>For</v>
          </cell>
          <cell r="G325">
            <v>1693</v>
          </cell>
          <cell r="H325" t="str">
            <v>NIQUELPLAST IND COM  ART  PLAST ARAM  LTDA</v>
          </cell>
          <cell r="I325">
            <v>39635</v>
          </cell>
          <cell r="J325">
            <v>1</v>
          </cell>
          <cell r="K325">
            <v>1</v>
          </cell>
          <cell r="L325">
            <v>341</v>
          </cell>
          <cell r="M325">
            <v>60658.94</v>
          </cell>
          <cell r="N325">
            <v>0</v>
          </cell>
          <cell r="O325">
            <v>0</v>
          </cell>
          <cell r="P325">
            <v>4</v>
          </cell>
          <cell r="Q325">
            <v>220416</v>
          </cell>
        </row>
        <row r="326">
          <cell r="A326">
            <v>325</v>
          </cell>
          <cell r="B326" t="str">
            <v>Pg</v>
          </cell>
          <cell r="C326">
            <v>6</v>
          </cell>
          <cell r="D326">
            <v>180416</v>
          </cell>
          <cell r="E326">
            <v>220416</v>
          </cell>
          <cell r="F326" t="str">
            <v>For</v>
          </cell>
          <cell r="G326">
            <v>1733</v>
          </cell>
          <cell r="H326" t="str">
            <v>CARLOS ROBERTO DOS SANTOS UTILIDADES DOMESTICA ME</v>
          </cell>
          <cell r="I326">
            <v>1511</v>
          </cell>
          <cell r="J326">
            <v>1</v>
          </cell>
          <cell r="K326">
            <v>1</v>
          </cell>
          <cell r="L326">
            <v>341</v>
          </cell>
          <cell r="M326">
            <v>10912</v>
          </cell>
          <cell r="N326">
            <v>0</v>
          </cell>
          <cell r="O326">
            <v>0</v>
          </cell>
          <cell r="P326">
            <v>4</v>
          </cell>
          <cell r="Q326">
            <v>220416</v>
          </cell>
        </row>
        <row r="327">
          <cell r="A327">
            <v>326</v>
          </cell>
          <cell r="B327" t="str">
            <v>Pg</v>
          </cell>
          <cell r="C327">
            <v>3</v>
          </cell>
          <cell r="D327">
            <v>180416</v>
          </cell>
          <cell r="E327">
            <v>220416</v>
          </cell>
          <cell r="F327" t="str">
            <v>For</v>
          </cell>
          <cell r="G327">
            <v>2160</v>
          </cell>
          <cell r="H327" t="str">
            <v>DESTRO BRASIL DISTRIBUICAO LTDA</v>
          </cell>
          <cell r="I327">
            <v>1066871</v>
          </cell>
          <cell r="J327">
            <v>1</v>
          </cell>
          <cell r="K327">
            <v>1</v>
          </cell>
          <cell r="L327">
            <v>341</v>
          </cell>
          <cell r="M327">
            <v>924</v>
          </cell>
          <cell r="N327">
            <v>0</v>
          </cell>
          <cell r="O327">
            <v>0</v>
          </cell>
          <cell r="P327">
            <v>4</v>
          </cell>
          <cell r="Q327">
            <v>220416</v>
          </cell>
        </row>
        <row r="328">
          <cell r="A328">
            <v>327</v>
          </cell>
          <cell r="B328" t="str">
            <v>Pg</v>
          </cell>
          <cell r="C328">
            <v>6</v>
          </cell>
          <cell r="D328">
            <v>190416</v>
          </cell>
          <cell r="E328">
            <v>220416</v>
          </cell>
          <cell r="F328" t="str">
            <v>For</v>
          </cell>
          <cell r="G328">
            <v>1903</v>
          </cell>
          <cell r="H328" t="str">
            <v>JARAGUA IND E COM DE VELAS E ALIMENTOS LTDA</v>
          </cell>
          <cell r="I328">
            <v>9203</v>
          </cell>
          <cell r="J328">
            <v>1</v>
          </cell>
          <cell r="K328">
            <v>1</v>
          </cell>
          <cell r="L328">
            <v>341</v>
          </cell>
          <cell r="M328">
            <v>44487.6</v>
          </cell>
          <cell r="N328">
            <v>0</v>
          </cell>
          <cell r="O328">
            <v>0</v>
          </cell>
          <cell r="P328">
            <v>14</v>
          </cell>
          <cell r="Q328">
            <v>220416</v>
          </cell>
        </row>
        <row r="329">
          <cell r="A329">
            <v>328</v>
          </cell>
          <cell r="B329" t="str">
            <v>Pg</v>
          </cell>
          <cell r="C329">
            <v>6</v>
          </cell>
          <cell r="D329">
            <v>200416</v>
          </cell>
          <cell r="E329">
            <v>220416</v>
          </cell>
          <cell r="F329" t="str">
            <v>For</v>
          </cell>
          <cell r="G329">
            <v>2836</v>
          </cell>
          <cell r="H329" t="str">
            <v>COMERCIAL GLASSUTIL EIRELI - EPP</v>
          </cell>
          <cell r="I329">
            <v>5546</v>
          </cell>
          <cell r="J329">
            <v>1</v>
          </cell>
          <cell r="K329">
            <v>1</v>
          </cell>
          <cell r="L329">
            <v>237</v>
          </cell>
          <cell r="M329">
            <v>4524</v>
          </cell>
          <cell r="N329">
            <v>0</v>
          </cell>
          <cell r="O329">
            <v>0</v>
          </cell>
          <cell r="P329">
            <v>14</v>
          </cell>
          <cell r="Q329">
            <v>220416</v>
          </cell>
        </row>
        <row r="330">
          <cell r="A330">
            <v>329</v>
          </cell>
          <cell r="B330" t="str">
            <v>Pg</v>
          </cell>
          <cell r="C330">
            <v>6</v>
          </cell>
          <cell r="D330">
            <v>200416</v>
          </cell>
          <cell r="E330">
            <v>220416</v>
          </cell>
          <cell r="F330" t="str">
            <v>For</v>
          </cell>
          <cell r="G330">
            <v>1298</v>
          </cell>
          <cell r="H330" t="str">
            <v>IND E COM DE BRINQUEDOS DIDATICOS LTDA ME</v>
          </cell>
          <cell r="I330">
            <v>1774</v>
          </cell>
          <cell r="J330">
            <v>1</v>
          </cell>
          <cell r="K330">
            <v>1</v>
          </cell>
          <cell r="L330">
            <v>341</v>
          </cell>
          <cell r="M330">
            <v>10730</v>
          </cell>
          <cell r="N330">
            <v>0</v>
          </cell>
          <cell r="O330">
            <v>0</v>
          </cell>
          <cell r="P330">
            <v>14</v>
          </cell>
          <cell r="Q330">
            <v>220416</v>
          </cell>
        </row>
        <row r="331">
          <cell r="A331">
            <v>330</v>
          </cell>
          <cell r="B331" t="str">
            <v>Pg</v>
          </cell>
          <cell r="C331">
            <v>6</v>
          </cell>
          <cell r="D331">
            <v>220416</v>
          </cell>
          <cell r="E331">
            <v>220416</v>
          </cell>
          <cell r="F331" t="str">
            <v>For</v>
          </cell>
          <cell r="G331">
            <v>283</v>
          </cell>
          <cell r="H331" t="str">
            <v>LEVINA ALIMENTOS LTDA</v>
          </cell>
          <cell r="I331">
            <v>25262</v>
          </cell>
          <cell r="J331">
            <v>1</v>
          </cell>
          <cell r="K331">
            <v>1</v>
          </cell>
          <cell r="L331">
            <v>341</v>
          </cell>
          <cell r="M331">
            <v>3220.31</v>
          </cell>
          <cell r="N331">
            <v>0</v>
          </cell>
          <cell r="O331">
            <v>0</v>
          </cell>
          <cell r="P331">
            <v>4</v>
          </cell>
          <cell r="Q331">
            <v>220416</v>
          </cell>
        </row>
        <row r="332">
          <cell r="A332">
            <v>331</v>
          </cell>
          <cell r="B332" t="str">
            <v>Pg</v>
          </cell>
          <cell r="C332">
            <v>6</v>
          </cell>
          <cell r="D332">
            <v>110116</v>
          </cell>
          <cell r="E332">
            <v>230416</v>
          </cell>
          <cell r="F332" t="str">
            <v>For</v>
          </cell>
          <cell r="G332">
            <v>2538</v>
          </cell>
          <cell r="H332" t="str">
            <v>BATIKI COM IMPORT EXPORT LTDA</v>
          </cell>
          <cell r="I332">
            <v>72936</v>
          </cell>
          <cell r="J332">
            <v>1</v>
          </cell>
          <cell r="K332">
            <v>1</v>
          </cell>
          <cell r="L332">
            <v>341</v>
          </cell>
          <cell r="M332">
            <v>23557.32</v>
          </cell>
          <cell r="N332">
            <v>0</v>
          </cell>
          <cell r="O332">
            <v>0</v>
          </cell>
          <cell r="P332">
            <v>4</v>
          </cell>
          <cell r="Q332">
            <v>250416</v>
          </cell>
        </row>
        <row r="333">
          <cell r="A333">
            <v>332</v>
          </cell>
          <cell r="B333" t="str">
            <v>Pg</v>
          </cell>
          <cell r="C333">
            <v>6</v>
          </cell>
          <cell r="D333">
            <v>110116</v>
          </cell>
          <cell r="E333">
            <v>230416</v>
          </cell>
          <cell r="F333" t="str">
            <v>For</v>
          </cell>
          <cell r="G333">
            <v>2538</v>
          </cell>
          <cell r="H333" t="str">
            <v>BATIKI COM IMPORT EXPORT LTDA</v>
          </cell>
          <cell r="I333">
            <v>72937</v>
          </cell>
          <cell r="J333">
            <v>1</v>
          </cell>
          <cell r="K333">
            <v>1</v>
          </cell>
          <cell r="L333">
            <v>341</v>
          </cell>
          <cell r="M333">
            <v>33162.120000000003</v>
          </cell>
          <cell r="N333">
            <v>0</v>
          </cell>
          <cell r="O333">
            <v>0</v>
          </cell>
          <cell r="P333">
            <v>4</v>
          </cell>
          <cell r="Q333">
            <v>250416</v>
          </cell>
        </row>
        <row r="334">
          <cell r="A334">
            <v>333</v>
          </cell>
          <cell r="B334" t="str">
            <v>Pg</v>
          </cell>
          <cell r="C334">
            <v>6</v>
          </cell>
          <cell r="D334">
            <v>250216</v>
          </cell>
          <cell r="E334">
            <v>230416</v>
          </cell>
          <cell r="F334" t="str">
            <v>For</v>
          </cell>
          <cell r="G334">
            <v>1447</v>
          </cell>
          <cell r="H334" t="str">
            <v>IDEATEX INDUSTRIA E COMERCIO LTDA</v>
          </cell>
          <cell r="I334">
            <v>14471</v>
          </cell>
          <cell r="J334">
            <v>1</v>
          </cell>
          <cell r="K334">
            <v>1</v>
          </cell>
          <cell r="L334">
            <v>341</v>
          </cell>
          <cell r="M334">
            <v>14192.2</v>
          </cell>
          <cell r="N334">
            <v>0</v>
          </cell>
          <cell r="O334">
            <v>0</v>
          </cell>
          <cell r="P334">
            <v>4</v>
          </cell>
          <cell r="Q334">
            <v>250416</v>
          </cell>
        </row>
        <row r="335">
          <cell r="A335">
            <v>334</v>
          </cell>
          <cell r="B335" t="str">
            <v>Pg</v>
          </cell>
          <cell r="C335">
            <v>6</v>
          </cell>
          <cell r="D335">
            <v>300316</v>
          </cell>
          <cell r="E335">
            <v>230416</v>
          </cell>
          <cell r="F335" t="str">
            <v>For</v>
          </cell>
          <cell r="G335">
            <v>267</v>
          </cell>
          <cell r="H335" t="str">
            <v>MIMO IMPORTACAO E EXPORTACAO LTDA</v>
          </cell>
          <cell r="I335">
            <v>90555</v>
          </cell>
          <cell r="J335">
            <v>1</v>
          </cell>
          <cell r="K335">
            <v>2</v>
          </cell>
          <cell r="L335">
            <v>341</v>
          </cell>
          <cell r="M335">
            <v>577.48</v>
          </cell>
          <cell r="N335">
            <v>0</v>
          </cell>
          <cell r="O335">
            <v>0</v>
          </cell>
          <cell r="P335">
            <v>4</v>
          </cell>
          <cell r="Q335">
            <v>250416</v>
          </cell>
        </row>
        <row r="336">
          <cell r="A336">
            <v>335</v>
          </cell>
          <cell r="B336" t="str">
            <v>Pg</v>
          </cell>
          <cell r="C336">
            <v>6</v>
          </cell>
          <cell r="D336">
            <v>300316</v>
          </cell>
          <cell r="E336">
            <v>230416</v>
          </cell>
          <cell r="F336" t="str">
            <v>For</v>
          </cell>
          <cell r="G336">
            <v>267</v>
          </cell>
          <cell r="H336" t="str">
            <v>MIMO IMPORTACAO E EXPORTACAO LTDA</v>
          </cell>
          <cell r="I336">
            <v>90553</v>
          </cell>
          <cell r="J336">
            <v>1</v>
          </cell>
          <cell r="K336">
            <v>1</v>
          </cell>
          <cell r="L336">
            <v>999</v>
          </cell>
          <cell r="M336">
            <v>37629.300000000003</v>
          </cell>
          <cell r="N336">
            <v>1128.8800000000001</v>
          </cell>
          <cell r="O336">
            <v>0</v>
          </cell>
          <cell r="P336">
            <v>4</v>
          </cell>
          <cell r="Q336">
            <v>250416</v>
          </cell>
        </row>
        <row r="337">
          <cell r="A337">
            <v>336</v>
          </cell>
          <cell r="B337" t="str">
            <v>Pg</v>
          </cell>
          <cell r="C337">
            <v>5</v>
          </cell>
          <cell r="D337">
            <v>130416</v>
          </cell>
          <cell r="E337">
            <v>230416</v>
          </cell>
          <cell r="F337" t="str">
            <v>For</v>
          </cell>
          <cell r="G337">
            <v>1424</v>
          </cell>
          <cell r="H337" t="str">
            <v>POMPEIA S.A INDUSTRIA E COMERCIO</v>
          </cell>
          <cell r="I337">
            <v>170432</v>
          </cell>
          <cell r="J337">
            <v>1</v>
          </cell>
          <cell r="K337">
            <v>1</v>
          </cell>
          <cell r="L337">
            <v>341</v>
          </cell>
          <cell r="M337">
            <v>900.97</v>
          </cell>
          <cell r="N337">
            <v>0</v>
          </cell>
          <cell r="O337">
            <v>0</v>
          </cell>
          <cell r="P337">
            <v>4</v>
          </cell>
          <cell r="Q337">
            <v>250416</v>
          </cell>
        </row>
        <row r="338">
          <cell r="A338">
            <v>337</v>
          </cell>
          <cell r="B338" t="str">
            <v>Pg</v>
          </cell>
          <cell r="C338">
            <v>1</v>
          </cell>
          <cell r="D338">
            <v>130416</v>
          </cell>
          <cell r="E338">
            <v>230416</v>
          </cell>
          <cell r="F338" t="str">
            <v>For</v>
          </cell>
          <cell r="G338">
            <v>1424</v>
          </cell>
          <cell r="H338" t="str">
            <v>POMPEIA S.A INDUSTRIA E COMERCIO</v>
          </cell>
          <cell r="I338">
            <v>170431</v>
          </cell>
          <cell r="J338">
            <v>1</v>
          </cell>
          <cell r="K338">
            <v>1</v>
          </cell>
          <cell r="L338">
            <v>341</v>
          </cell>
          <cell r="M338">
            <v>2353.46</v>
          </cell>
          <cell r="N338">
            <v>0</v>
          </cell>
          <cell r="O338">
            <v>0</v>
          </cell>
          <cell r="P338">
            <v>4</v>
          </cell>
          <cell r="Q338">
            <v>250416</v>
          </cell>
        </row>
        <row r="339">
          <cell r="A339">
            <v>338</v>
          </cell>
          <cell r="B339" t="str">
            <v>Pg</v>
          </cell>
          <cell r="C339">
            <v>6</v>
          </cell>
          <cell r="D339">
            <v>150416</v>
          </cell>
          <cell r="E339">
            <v>230416</v>
          </cell>
          <cell r="F339" t="str">
            <v>For</v>
          </cell>
          <cell r="G339">
            <v>2096</v>
          </cell>
          <cell r="H339" t="str">
            <v>M. DIAS BRANCO S.A. INDUSTRIA E COM DE ALIMENTOS</v>
          </cell>
          <cell r="I339">
            <v>195130</v>
          </cell>
          <cell r="J339">
            <v>1</v>
          </cell>
          <cell r="K339">
            <v>1</v>
          </cell>
          <cell r="L339">
            <v>341</v>
          </cell>
          <cell r="M339">
            <v>1380.24</v>
          </cell>
          <cell r="N339">
            <v>0</v>
          </cell>
          <cell r="O339">
            <v>0</v>
          </cell>
          <cell r="P339">
            <v>4</v>
          </cell>
          <cell r="Q339">
            <v>250416</v>
          </cell>
        </row>
        <row r="340">
          <cell r="A340">
            <v>339</v>
          </cell>
          <cell r="B340" t="str">
            <v>Pg</v>
          </cell>
          <cell r="C340">
            <v>3</v>
          </cell>
          <cell r="D340">
            <v>50416</v>
          </cell>
          <cell r="E340">
            <v>240416</v>
          </cell>
          <cell r="F340" t="str">
            <v>For</v>
          </cell>
          <cell r="G340">
            <v>1031</v>
          </cell>
          <cell r="H340" t="str">
            <v>GLICO ALIMENTOS LTDA</v>
          </cell>
          <cell r="I340">
            <v>265021</v>
          </cell>
          <cell r="J340">
            <v>1</v>
          </cell>
          <cell r="K340">
            <v>1</v>
          </cell>
          <cell r="L340">
            <v>341</v>
          </cell>
          <cell r="M340">
            <v>1217.92</v>
          </cell>
          <cell r="N340">
            <v>0</v>
          </cell>
          <cell r="O340">
            <v>0</v>
          </cell>
          <cell r="P340">
            <v>4</v>
          </cell>
          <cell r="Q340">
            <v>250416</v>
          </cell>
        </row>
        <row r="341">
          <cell r="A341">
            <v>340</v>
          </cell>
          <cell r="B341" t="str">
            <v>Pg</v>
          </cell>
          <cell r="C341">
            <v>1</v>
          </cell>
          <cell r="D341">
            <v>50416</v>
          </cell>
          <cell r="E341">
            <v>240416</v>
          </cell>
          <cell r="F341" t="str">
            <v>For</v>
          </cell>
          <cell r="G341">
            <v>1031</v>
          </cell>
          <cell r="H341" t="str">
            <v>GLICO ALIMENTOS LTDA</v>
          </cell>
          <cell r="I341">
            <v>265023</v>
          </cell>
          <cell r="J341">
            <v>1</v>
          </cell>
          <cell r="K341">
            <v>1</v>
          </cell>
          <cell r="L341">
            <v>341</v>
          </cell>
          <cell r="M341">
            <v>1267.1500000000001</v>
          </cell>
          <cell r="N341">
            <v>0</v>
          </cell>
          <cell r="O341">
            <v>0</v>
          </cell>
          <cell r="P341">
            <v>4</v>
          </cell>
          <cell r="Q341">
            <v>250416</v>
          </cell>
        </row>
        <row r="342">
          <cell r="A342">
            <v>341</v>
          </cell>
          <cell r="B342" t="str">
            <v>Pg</v>
          </cell>
          <cell r="C342">
            <v>5</v>
          </cell>
          <cell r="D342">
            <v>50416</v>
          </cell>
          <cell r="E342">
            <v>240416</v>
          </cell>
          <cell r="F342" t="str">
            <v>For</v>
          </cell>
          <cell r="G342">
            <v>1031</v>
          </cell>
          <cell r="H342" t="str">
            <v>GLICO ALIMENTOS LTDA</v>
          </cell>
          <cell r="I342">
            <v>265022</v>
          </cell>
          <cell r="J342">
            <v>1</v>
          </cell>
          <cell r="K342">
            <v>1</v>
          </cell>
          <cell r="L342">
            <v>341</v>
          </cell>
          <cell r="M342">
            <v>1330.57</v>
          </cell>
          <cell r="N342">
            <v>0</v>
          </cell>
          <cell r="O342">
            <v>0</v>
          </cell>
          <cell r="P342">
            <v>4</v>
          </cell>
          <cell r="Q342">
            <v>250416</v>
          </cell>
        </row>
        <row r="343">
          <cell r="A343">
            <v>342</v>
          </cell>
          <cell r="B343" t="str">
            <v>Pg</v>
          </cell>
          <cell r="C343">
            <v>6</v>
          </cell>
          <cell r="D343">
            <v>110416</v>
          </cell>
          <cell r="E343">
            <v>240416</v>
          </cell>
          <cell r="F343" t="str">
            <v>For</v>
          </cell>
          <cell r="G343">
            <v>1458</v>
          </cell>
          <cell r="H343" t="str">
            <v>DISTRIBUIDORA DE PRODUTOS ALIMENTICIOS MARSIL LTDA</v>
          </cell>
          <cell r="I343">
            <v>1294751</v>
          </cell>
          <cell r="J343">
            <v>1</v>
          </cell>
          <cell r="K343">
            <v>1</v>
          </cell>
          <cell r="L343">
            <v>341</v>
          </cell>
          <cell r="M343">
            <v>21120.75</v>
          </cell>
          <cell r="N343">
            <v>0</v>
          </cell>
          <cell r="O343">
            <v>0</v>
          </cell>
          <cell r="P343">
            <v>4</v>
          </cell>
          <cell r="Q343">
            <v>250416</v>
          </cell>
        </row>
        <row r="344">
          <cell r="A344">
            <v>343</v>
          </cell>
          <cell r="B344" t="str">
            <v>Pg</v>
          </cell>
          <cell r="C344">
            <v>5</v>
          </cell>
          <cell r="D344">
            <v>110416</v>
          </cell>
          <cell r="E344">
            <v>240416</v>
          </cell>
          <cell r="F344" t="str">
            <v>For</v>
          </cell>
          <cell r="G344">
            <v>1458</v>
          </cell>
          <cell r="H344" t="str">
            <v>DISTRIBUIDORA DE PRODUTOS ALIMENTICIOS MARSIL LTDA</v>
          </cell>
          <cell r="I344">
            <v>1294718</v>
          </cell>
          <cell r="J344">
            <v>1</v>
          </cell>
          <cell r="K344">
            <v>1</v>
          </cell>
          <cell r="L344">
            <v>341</v>
          </cell>
          <cell r="M344">
            <v>298.32</v>
          </cell>
          <cell r="N344">
            <v>0</v>
          </cell>
          <cell r="O344">
            <v>0</v>
          </cell>
          <cell r="P344">
            <v>4</v>
          </cell>
          <cell r="Q344">
            <v>250416</v>
          </cell>
        </row>
        <row r="345">
          <cell r="A345">
            <v>344</v>
          </cell>
          <cell r="B345" t="str">
            <v>Pg</v>
          </cell>
          <cell r="C345">
            <v>1</v>
          </cell>
          <cell r="D345">
            <v>120416</v>
          </cell>
          <cell r="E345">
            <v>240416</v>
          </cell>
          <cell r="F345" t="str">
            <v>For</v>
          </cell>
          <cell r="G345">
            <v>1458</v>
          </cell>
          <cell r="H345" t="str">
            <v>DISTRIBUIDORA DE PRODUTOS ALIMENTICIOS MARSIL LTDA</v>
          </cell>
          <cell r="I345">
            <v>1294717</v>
          </cell>
          <cell r="J345">
            <v>1</v>
          </cell>
          <cell r="K345">
            <v>1</v>
          </cell>
          <cell r="L345">
            <v>341</v>
          </cell>
          <cell r="M345">
            <v>845.24</v>
          </cell>
          <cell r="N345">
            <v>0</v>
          </cell>
          <cell r="O345">
            <v>0</v>
          </cell>
          <cell r="P345">
            <v>4</v>
          </cell>
          <cell r="Q345">
            <v>250416</v>
          </cell>
        </row>
        <row r="346">
          <cell r="A346">
            <v>345</v>
          </cell>
          <cell r="B346" t="str">
            <v>Pg</v>
          </cell>
          <cell r="C346">
            <v>6</v>
          </cell>
          <cell r="D346">
            <v>110116</v>
          </cell>
          <cell r="E346">
            <v>250416</v>
          </cell>
          <cell r="F346" t="str">
            <v>For</v>
          </cell>
          <cell r="G346">
            <v>2538</v>
          </cell>
          <cell r="H346" t="str">
            <v>BATIKI COM IMPORT EXPORT LTDA</v>
          </cell>
          <cell r="I346">
            <v>72961</v>
          </cell>
          <cell r="J346">
            <v>1</v>
          </cell>
          <cell r="K346">
            <v>1</v>
          </cell>
          <cell r="L346">
            <v>341</v>
          </cell>
          <cell r="M346">
            <v>8415</v>
          </cell>
          <cell r="N346">
            <v>0</v>
          </cell>
          <cell r="O346">
            <v>0</v>
          </cell>
          <cell r="P346">
            <v>4</v>
          </cell>
          <cell r="Q346">
            <v>250416</v>
          </cell>
        </row>
        <row r="347">
          <cell r="A347">
            <v>346</v>
          </cell>
          <cell r="B347" t="str">
            <v>Pg</v>
          </cell>
          <cell r="C347">
            <v>6</v>
          </cell>
          <cell r="D347">
            <v>150316</v>
          </cell>
          <cell r="E347">
            <v>250416</v>
          </cell>
          <cell r="F347" t="str">
            <v>For</v>
          </cell>
          <cell r="G347">
            <v>1836</v>
          </cell>
          <cell r="H347" t="str">
            <v>CARDOSO IND COM DE PLASTICOS LTDA</v>
          </cell>
          <cell r="I347">
            <v>39013</v>
          </cell>
          <cell r="J347">
            <v>1</v>
          </cell>
          <cell r="K347">
            <v>1</v>
          </cell>
          <cell r="L347">
            <v>341</v>
          </cell>
          <cell r="M347">
            <v>6874.56</v>
          </cell>
          <cell r="N347">
            <v>0</v>
          </cell>
          <cell r="O347">
            <v>0</v>
          </cell>
          <cell r="P347">
            <v>4</v>
          </cell>
          <cell r="Q347">
            <v>250416</v>
          </cell>
        </row>
        <row r="348">
          <cell r="A348">
            <v>347</v>
          </cell>
          <cell r="B348" t="str">
            <v>Pg</v>
          </cell>
          <cell r="C348">
            <v>1</v>
          </cell>
          <cell r="D348">
            <v>290316</v>
          </cell>
          <cell r="E348">
            <v>250416</v>
          </cell>
          <cell r="F348" t="str">
            <v>For</v>
          </cell>
          <cell r="G348">
            <v>1845</v>
          </cell>
          <cell r="H348" t="str">
            <v>PERFETTI VAN MELLE DISTRIBUIDORA LTDA</v>
          </cell>
          <cell r="I348">
            <v>45518</v>
          </cell>
          <cell r="J348">
            <v>1</v>
          </cell>
          <cell r="K348">
            <v>1</v>
          </cell>
          <cell r="L348">
            <v>341</v>
          </cell>
          <cell r="M348">
            <v>9653.98</v>
          </cell>
          <cell r="N348">
            <v>0</v>
          </cell>
          <cell r="O348">
            <v>0</v>
          </cell>
          <cell r="P348">
            <v>4</v>
          </cell>
          <cell r="Q348">
            <v>250416</v>
          </cell>
        </row>
        <row r="349">
          <cell r="A349">
            <v>348</v>
          </cell>
          <cell r="B349" t="str">
            <v>Pg</v>
          </cell>
          <cell r="C349">
            <v>5</v>
          </cell>
          <cell r="D349">
            <v>300316</v>
          </cell>
          <cell r="E349">
            <v>250416</v>
          </cell>
          <cell r="F349" t="str">
            <v>For</v>
          </cell>
          <cell r="G349">
            <v>1845</v>
          </cell>
          <cell r="H349" t="str">
            <v>PERFETTI VAN MELLE DISTRIBUIDORA LTDA</v>
          </cell>
          <cell r="I349">
            <v>45520</v>
          </cell>
          <cell r="J349">
            <v>1</v>
          </cell>
          <cell r="K349">
            <v>1</v>
          </cell>
          <cell r="L349">
            <v>341</v>
          </cell>
          <cell r="M349">
            <v>6320.51</v>
          </cell>
          <cell r="N349">
            <v>0</v>
          </cell>
          <cell r="O349">
            <v>0</v>
          </cell>
          <cell r="P349">
            <v>4</v>
          </cell>
          <cell r="Q349">
            <v>250416</v>
          </cell>
        </row>
        <row r="350">
          <cell r="A350">
            <v>349</v>
          </cell>
          <cell r="B350" t="str">
            <v>Pg</v>
          </cell>
          <cell r="C350">
            <v>3</v>
          </cell>
          <cell r="D350">
            <v>300316</v>
          </cell>
          <cell r="E350">
            <v>250416</v>
          </cell>
          <cell r="F350" t="str">
            <v>For</v>
          </cell>
          <cell r="G350">
            <v>1845</v>
          </cell>
          <cell r="H350" t="str">
            <v>PERFETTI VAN MELLE DISTRIBUIDORA LTDA</v>
          </cell>
          <cell r="I350">
            <v>45519</v>
          </cell>
          <cell r="J350">
            <v>1</v>
          </cell>
          <cell r="K350">
            <v>1</v>
          </cell>
          <cell r="L350">
            <v>341</v>
          </cell>
          <cell r="M350">
            <v>8951.0400000000009</v>
          </cell>
          <cell r="N350">
            <v>-378.53</v>
          </cell>
          <cell r="O350">
            <v>0</v>
          </cell>
          <cell r="P350">
            <v>4</v>
          </cell>
          <cell r="Q350">
            <v>250416</v>
          </cell>
        </row>
        <row r="351">
          <cell r="A351">
            <v>350</v>
          </cell>
          <cell r="B351" t="str">
            <v>Pg</v>
          </cell>
          <cell r="C351">
            <v>8</v>
          </cell>
          <cell r="D351">
            <v>300316</v>
          </cell>
          <cell r="E351">
            <v>250416</v>
          </cell>
          <cell r="F351" t="str">
            <v>For</v>
          </cell>
          <cell r="G351">
            <v>1845</v>
          </cell>
          <cell r="H351" t="str">
            <v>PERFETTI VAN MELLE DISTRIBUIDORA LTDA</v>
          </cell>
          <cell r="I351">
            <v>45526</v>
          </cell>
          <cell r="J351">
            <v>1</v>
          </cell>
          <cell r="K351">
            <v>1</v>
          </cell>
          <cell r="L351">
            <v>341</v>
          </cell>
          <cell r="M351">
            <v>6025.38</v>
          </cell>
          <cell r="N351">
            <v>0</v>
          </cell>
          <cell r="O351">
            <v>0</v>
          </cell>
          <cell r="P351">
            <v>4</v>
          </cell>
          <cell r="Q351">
            <v>250416</v>
          </cell>
        </row>
        <row r="352">
          <cell r="A352">
            <v>351</v>
          </cell>
          <cell r="B352" t="str">
            <v>Pg</v>
          </cell>
          <cell r="C352">
            <v>9</v>
          </cell>
          <cell r="D352">
            <v>310316</v>
          </cell>
          <cell r="E352">
            <v>250416</v>
          </cell>
          <cell r="F352" t="str">
            <v>For</v>
          </cell>
          <cell r="G352">
            <v>1845</v>
          </cell>
          <cell r="H352" t="str">
            <v>PERFETTI VAN MELLE DISTRIBUIDORA LTDA</v>
          </cell>
          <cell r="I352">
            <v>45527</v>
          </cell>
          <cell r="J352">
            <v>1</v>
          </cell>
          <cell r="K352">
            <v>1</v>
          </cell>
          <cell r="L352">
            <v>341</v>
          </cell>
          <cell r="M352">
            <v>4743.71</v>
          </cell>
          <cell r="N352">
            <v>0</v>
          </cell>
          <cell r="O352">
            <v>0</v>
          </cell>
          <cell r="P352">
            <v>4</v>
          </cell>
          <cell r="Q352">
            <v>250416</v>
          </cell>
        </row>
        <row r="353">
          <cell r="A353">
            <v>352</v>
          </cell>
          <cell r="B353" t="str">
            <v>Pg</v>
          </cell>
          <cell r="C353">
            <v>3</v>
          </cell>
          <cell r="D353">
            <v>50416</v>
          </cell>
          <cell r="E353">
            <v>250416</v>
          </cell>
          <cell r="F353" t="str">
            <v>For</v>
          </cell>
          <cell r="G353">
            <v>1752</v>
          </cell>
          <cell r="H353" t="str">
            <v>TADEU DANTAS DE OLIVEIRA CONFECCAO - ME</v>
          </cell>
          <cell r="I353">
            <v>455</v>
          </cell>
          <cell r="J353">
            <v>1</v>
          </cell>
          <cell r="K353">
            <v>1</v>
          </cell>
          <cell r="L353">
            <v>341</v>
          </cell>
          <cell r="M353">
            <v>3060</v>
          </cell>
          <cell r="N353">
            <v>0</v>
          </cell>
          <cell r="O353">
            <v>0</v>
          </cell>
          <cell r="P353">
            <v>14</v>
          </cell>
          <cell r="Q353">
            <v>250416</v>
          </cell>
        </row>
        <row r="354">
          <cell r="A354">
            <v>353</v>
          </cell>
          <cell r="B354" t="str">
            <v>Pg</v>
          </cell>
          <cell r="C354">
            <v>9</v>
          </cell>
          <cell r="D354">
            <v>50416</v>
          </cell>
          <cell r="E354">
            <v>250416</v>
          </cell>
          <cell r="F354" t="str">
            <v>For</v>
          </cell>
          <cell r="G354">
            <v>1752</v>
          </cell>
          <cell r="H354" t="str">
            <v>TADEU DANTAS DE OLIVEIRA CONFECCAO - ME</v>
          </cell>
          <cell r="I354">
            <v>456</v>
          </cell>
          <cell r="J354">
            <v>1</v>
          </cell>
          <cell r="K354">
            <v>1</v>
          </cell>
          <cell r="L354">
            <v>341</v>
          </cell>
          <cell r="M354">
            <v>2150</v>
          </cell>
          <cell r="N354">
            <v>0</v>
          </cell>
          <cell r="O354">
            <v>0</v>
          </cell>
          <cell r="P354">
            <v>14</v>
          </cell>
          <cell r="Q354">
            <v>250416</v>
          </cell>
        </row>
        <row r="355">
          <cell r="A355">
            <v>354</v>
          </cell>
          <cell r="B355" t="str">
            <v>Pg</v>
          </cell>
          <cell r="C355">
            <v>6</v>
          </cell>
          <cell r="D355">
            <v>60416</v>
          </cell>
          <cell r="E355">
            <v>250416</v>
          </cell>
          <cell r="F355" t="str">
            <v>For</v>
          </cell>
          <cell r="G355">
            <v>2063</v>
          </cell>
          <cell r="H355" t="str">
            <v>PEROLA COM DE PRODUTOS ALIM S/A</v>
          </cell>
          <cell r="I355">
            <v>92290</v>
          </cell>
          <cell r="J355">
            <v>1</v>
          </cell>
          <cell r="K355">
            <v>1</v>
          </cell>
          <cell r="L355">
            <v>341</v>
          </cell>
          <cell r="M355">
            <v>2055.6799999999998</v>
          </cell>
          <cell r="N355">
            <v>0</v>
          </cell>
          <cell r="O355">
            <v>0</v>
          </cell>
          <cell r="P355">
            <v>4</v>
          </cell>
          <cell r="Q355">
            <v>250416</v>
          </cell>
        </row>
        <row r="356">
          <cell r="A356">
            <v>355</v>
          </cell>
          <cell r="B356" t="str">
            <v>Pg</v>
          </cell>
          <cell r="C356">
            <v>6</v>
          </cell>
          <cell r="D356">
            <v>60416</v>
          </cell>
          <cell r="E356">
            <v>250416</v>
          </cell>
          <cell r="F356" t="str">
            <v>For</v>
          </cell>
          <cell r="G356">
            <v>2063</v>
          </cell>
          <cell r="H356" t="str">
            <v>PEROLA COM DE PRODUTOS ALIM S/A</v>
          </cell>
          <cell r="I356">
            <v>92221</v>
          </cell>
          <cell r="J356">
            <v>1</v>
          </cell>
          <cell r="K356">
            <v>1</v>
          </cell>
          <cell r="L356">
            <v>341</v>
          </cell>
          <cell r="M356">
            <v>15672.63</v>
          </cell>
          <cell r="N356">
            <v>0</v>
          </cell>
          <cell r="O356">
            <v>0</v>
          </cell>
          <cell r="P356">
            <v>4</v>
          </cell>
          <cell r="Q356">
            <v>250416</v>
          </cell>
        </row>
        <row r="357">
          <cell r="A357">
            <v>356</v>
          </cell>
          <cell r="B357" t="str">
            <v>Pg</v>
          </cell>
          <cell r="C357">
            <v>6</v>
          </cell>
          <cell r="D357">
            <v>120416</v>
          </cell>
          <cell r="E357">
            <v>250416</v>
          </cell>
          <cell r="F357" t="str">
            <v>For</v>
          </cell>
          <cell r="G357">
            <v>2980</v>
          </cell>
          <cell r="H357" t="str">
            <v>FLAMIN MINERACAO LTDA</v>
          </cell>
          <cell r="I357">
            <v>2492</v>
          </cell>
          <cell r="J357">
            <v>1</v>
          </cell>
          <cell r="K357">
            <v>2</v>
          </cell>
          <cell r="L357">
            <v>341</v>
          </cell>
          <cell r="M357">
            <v>15070.69</v>
          </cell>
          <cell r="N357">
            <v>0</v>
          </cell>
          <cell r="O357">
            <v>0</v>
          </cell>
          <cell r="P357">
            <v>4</v>
          </cell>
          <cell r="Q357">
            <v>250416</v>
          </cell>
        </row>
        <row r="358">
          <cell r="A358">
            <v>357</v>
          </cell>
          <cell r="B358" t="str">
            <v>Pg</v>
          </cell>
          <cell r="C358">
            <v>6</v>
          </cell>
          <cell r="D358">
            <v>140416</v>
          </cell>
          <cell r="E358">
            <v>250416</v>
          </cell>
          <cell r="F358" t="str">
            <v>For</v>
          </cell>
          <cell r="G358">
            <v>1533</v>
          </cell>
          <cell r="H358" t="str">
            <v>TRAMONTINA S/A CUTELARIA</v>
          </cell>
          <cell r="I358">
            <v>330238</v>
          </cell>
          <cell r="J358">
            <v>1</v>
          </cell>
          <cell r="K358">
            <v>1</v>
          </cell>
          <cell r="L358">
            <v>999</v>
          </cell>
          <cell r="M358">
            <v>22394.080000000002</v>
          </cell>
          <cell r="N358">
            <v>0</v>
          </cell>
          <cell r="O358">
            <v>0</v>
          </cell>
          <cell r="P358">
            <v>4</v>
          </cell>
          <cell r="Q358">
            <v>220416</v>
          </cell>
        </row>
        <row r="359">
          <cell r="A359">
            <v>358</v>
          </cell>
          <cell r="B359" t="str">
            <v>Pg</v>
          </cell>
          <cell r="C359">
            <v>6</v>
          </cell>
          <cell r="D359">
            <v>140416</v>
          </cell>
          <cell r="E359">
            <v>250416</v>
          </cell>
          <cell r="F359" t="str">
            <v>For</v>
          </cell>
          <cell r="G359">
            <v>451</v>
          </cell>
          <cell r="H359" t="str">
            <v>RIO CHEN'S IMPOR E EXPOR LTDA.</v>
          </cell>
          <cell r="I359">
            <v>42098</v>
          </cell>
          <cell r="J359">
            <v>1</v>
          </cell>
          <cell r="K359">
            <v>1</v>
          </cell>
          <cell r="L359">
            <v>341</v>
          </cell>
          <cell r="M359">
            <v>61077.73</v>
          </cell>
          <cell r="N359">
            <v>0</v>
          </cell>
          <cell r="O359">
            <v>0</v>
          </cell>
          <cell r="P359">
            <v>4</v>
          </cell>
          <cell r="Q359">
            <v>250416</v>
          </cell>
        </row>
        <row r="360">
          <cell r="A360">
            <v>359</v>
          </cell>
          <cell r="B360" t="str">
            <v>Pg</v>
          </cell>
          <cell r="C360">
            <v>6</v>
          </cell>
          <cell r="D360">
            <v>150416</v>
          </cell>
          <cell r="E360">
            <v>250416</v>
          </cell>
          <cell r="F360" t="str">
            <v>For</v>
          </cell>
          <cell r="G360">
            <v>2460</v>
          </cell>
          <cell r="H360" t="str">
            <v>EBM DISTRIBUICAO E LOGISTICA LTDA</v>
          </cell>
          <cell r="I360">
            <v>4357</v>
          </cell>
          <cell r="J360">
            <v>1</v>
          </cell>
          <cell r="K360">
            <v>1</v>
          </cell>
          <cell r="L360">
            <v>341</v>
          </cell>
          <cell r="M360">
            <v>8136.6</v>
          </cell>
          <cell r="N360">
            <v>0</v>
          </cell>
          <cell r="O360">
            <v>0</v>
          </cell>
          <cell r="P360">
            <v>4</v>
          </cell>
          <cell r="Q360">
            <v>250416</v>
          </cell>
        </row>
        <row r="361">
          <cell r="A361">
            <v>360</v>
          </cell>
          <cell r="B361" t="str">
            <v>Pg</v>
          </cell>
          <cell r="C361">
            <v>6</v>
          </cell>
          <cell r="D361">
            <v>150416</v>
          </cell>
          <cell r="E361">
            <v>250416</v>
          </cell>
          <cell r="F361" t="str">
            <v>For</v>
          </cell>
          <cell r="G361">
            <v>2460</v>
          </cell>
          <cell r="H361" t="str">
            <v>EBM DISTRIBUICAO E LOGISTICA LTDA</v>
          </cell>
          <cell r="I361">
            <v>4351</v>
          </cell>
          <cell r="J361">
            <v>1</v>
          </cell>
          <cell r="K361">
            <v>1</v>
          </cell>
          <cell r="L361">
            <v>341</v>
          </cell>
          <cell r="M361">
            <v>14320.28</v>
          </cell>
          <cell r="N361">
            <v>0</v>
          </cell>
          <cell r="O361">
            <v>0</v>
          </cell>
          <cell r="P361">
            <v>4</v>
          </cell>
          <cell r="Q361">
            <v>250416</v>
          </cell>
        </row>
        <row r="362">
          <cell r="A362">
            <v>361</v>
          </cell>
          <cell r="B362" t="str">
            <v>Pg</v>
          </cell>
          <cell r="C362">
            <v>6</v>
          </cell>
          <cell r="D362">
            <v>180416</v>
          </cell>
          <cell r="E362">
            <v>250416</v>
          </cell>
          <cell r="F362" t="str">
            <v>For</v>
          </cell>
          <cell r="G362">
            <v>963</v>
          </cell>
          <cell r="H362" t="str">
            <v>IND DE TORRONE N.S.DE MONTEVERGINE LTDA.</v>
          </cell>
          <cell r="I362">
            <v>254946</v>
          </cell>
          <cell r="J362">
            <v>1</v>
          </cell>
          <cell r="K362">
            <v>1</v>
          </cell>
          <cell r="L362">
            <v>341</v>
          </cell>
          <cell r="M362">
            <v>3657.08</v>
          </cell>
          <cell r="N362">
            <v>0</v>
          </cell>
          <cell r="O362">
            <v>0</v>
          </cell>
          <cell r="P362">
            <v>4</v>
          </cell>
          <cell r="Q362">
            <v>250416</v>
          </cell>
        </row>
        <row r="363">
          <cell r="A363">
            <v>362</v>
          </cell>
          <cell r="B363" t="str">
            <v>Pg</v>
          </cell>
          <cell r="C363">
            <v>3</v>
          </cell>
          <cell r="D363">
            <v>180416</v>
          </cell>
          <cell r="E363">
            <v>250416</v>
          </cell>
          <cell r="F363" t="str">
            <v>For</v>
          </cell>
          <cell r="G363">
            <v>2088</v>
          </cell>
          <cell r="H363" t="str">
            <v>GIANINA COM.IMPORT. E EXPORT.S/A</v>
          </cell>
          <cell r="I363">
            <v>383345</v>
          </cell>
          <cell r="J363">
            <v>1</v>
          </cell>
          <cell r="K363">
            <v>1</v>
          </cell>
          <cell r="L363">
            <v>341</v>
          </cell>
          <cell r="M363">
            <v>1169.1600000000001</v>
          </cell>
          <cell r="N363">
            <v>0</v>
          </cell>
          <cell r="O363">
            <v>0</v>
          </cell>
          <cell r="P363">
            <v>4</v>
          </cell>
          <cell r="Q363">
            <v>250416</v>
          </cell>
        </row>
        <row r="364">
          <cell r="A364">
            <v>363</v>
          </cell>
          <cell r="B364" t="str">
            <v>Pg</v>
          </cell>
          <cell r="C364">
            <v>6</v>
          </cell>
          <cell r="D364">
            <v>180416</v>
          </cell>
          <cell r="E364">
            <v>250416</v>
          </cell>
          <cell r="F364" t="str">
            <v>For</v>
          </cell>
          <cell r="G364">
            <v>1982</v>
          </cell>
          <cell r="H364" t="str">
            <v>NADIR FIGUEIREDO INDUSTRIA E COMERCIO S.A</v>
          </cell>
          <cell r="I364">
            <v>205346</v>
          </cell>
          <cell r="J364">
            <v>1</v>
          </cell>
          <cell r="K364">
            <v>1</v>
          </cell>
          <cell r="L364">
            <v>341</v>
          </cell>
          <cell r="M364">
            <v>17666.490000000002</v>
          </cell>
          <cell r="N364">
            <v>0</v>
          </cell>
          <cell r="O364">
            <v>0</v>
          </cell>
          <cell r="P364">
            <v>4</v>
          </cell>
          <cell r="Q364">
            <v>250416</v>
          </cell>
        </row>
        <row r="365">
          <cell r="A365">
            <v>364</v>
          </cell>
          <cell r="B365" t="str">
            <v>Pg</v>
          </cell>
          <cell r="C365">
            <v>9</v>
          </cell>
          <cell r="D365">
            <v>180416</v>
          </cell>
          <cell r="E365">
            <v>250416</v>
          </cell>
          <cell r="F365" t="str">
            <v>For</v>
          </cell>
          <cell r="G365">
            <v>1278</v>
          </cell>
          <cell r="H365" t="str">
            <v>LUA NOVA IND.E COM.DE PROD.ALIMENT.LTDA.</v>
          </cell>
          <cell r="I365">
            <v>2336981</v>
          </cell>
          <cell r="J365">
            <v>1</v>
          </cell>
          <cell r="K365">
            <v>1</v>
          </cell>
          <cell r="L365">
            <v>341</v>
          </cell>
          <cell r="M365">
            <v>632.52</v>
          </cell>
          <cell r="N365">
            <v>0</v>
          </cell>
          <cell r="O365">
            <v>0</v>
          </cell>
          <cell r="P365">
            <v>4</v>
          </cell>
          <cell r="Q365">
            <v>250416</v>
          </cell>
        </row>
        <row r="366">
          <cell r="A366">
            <v>365</v>
          </cell>
          <cell r="B366" t="str">
            <v>Pg</v>
          </cell>
          <cell r="C366">
            <v>9</v>
          </cell>
          <cell r="D366">
            <v>180416</v>
          </cell>
          <cell r="E366">
            <v>250416</v>
          </cell>
          <cell r="F366" t="str">
            <v>For</v>
          </cell>
          <cell r="G366">
            <v>1278</v>
          </cell>
          <cell r="H366" t="str">
            <v>LUA NOVA IND.E COM.DE PROD.ALIMENT.LTDA.</v>
          </cell>
          <cell r="I366">
            <v>2336982</v>
          </cell>
          <cell r="J366">
            <v>1</v>
          </cell>
          <cell r="K366">
            <v>1</v>
          </cell>
          <cell r="L366">
            <v>341</v>
          </cell>
          <cell r="M366">
            <v>812.06</v>
          </cell>
          <cell r="N366">
            <v>0</v>
          </cell>
          <cell r="O366">
            <v>0</v>
          </cell>
          <cell r="P366">
            <v>4</v>
          </cell>
          <cell r="Q366">
            <v>250416</v>
          </cell>
        </row>
        <row r="367">
          <cell r="A367">
            <v>366</v>
          </cell>
          <cell r="B367" t="str">
            <v>Pg</v>
          </cell>
          <cell r="C367">
            <v>9</v>
          </cell>
          <cell r="D367">
            <v>180416</v>
          </cell>
          <cell r="E367">
            <v>250416</v>
          </cell>
          <cell r="F367" t="str">
            <v>For</v>
          </cell>
          <cell r="G367">
            <v>1951</v>
          </cell>
          <cell r="H367" t="str">
            <v>BISCOITONE IND PROD ALIMENTICIOS LTDA</v>
          </cell>
          <cell r="I367">
            <v>26991</v>
          </cell>
          <cell r="J367">
            <v>1</v>
          </cell>
          <cell r="K367">
            <v>1</v>
          </cell>
          <cell r="L367">
            <v>341</v>
          </cell>
          <cell r="M367">
            <v>1556.59</v>
          </cell>
          <cell r="N367">
            <v>0</v>
          </cell>
          <cell r="O367">
            <v>0</v>
          </cell>
          <cell r="P367">
            <v>4</v>
          </cell>
          <cell r="Q367">
            <v>250416</v>
          </cell>
        </row>
        <row r="368">
          <cell r="A368">
            <v>367</v>
          </cell>
          <cell r="B368" t="str">
            <v>Pg</v>
          </cell>
          <cell r="C368">
            <v>5</v>
          </cell>
          <cell r="D368">
            <v>190416</v>
          </cell>
          <cell r="E368">
            <v>250416</v>
          </cell>
          <cell r="F368" t="str">
            <v>For</v>
          </cell>
          <cell r="G368">
            <v>1278</v>
          </cell>
          <cell r="H368" t="str">
            <v>LUA NOVA IND.E COM.DE PROD.ALIMENT.LTDA.</v>
          </cell>
          <cell r="I368">
            <v>2337297</v>
          </cell>
          <cell r="J368">
            <v>1</v>
          </cell>
          <cell r="K368">
            <v>1</v>
          </cell>
          <cell r="L368">
            <v>341</v>
          </cell>
          <cell r="M368">
            <v>159.30000000000001</v>
          </cell>
          <cell r="N368">
            <v>0</v>
          </cell>
          <cell r="O368">
            <v>0</v>
          </cell>
          <cell r="P368">
            <v>4</v>
          </cell>
          <cell r="Q368">
            <v>250416</v>
          </cell>
        </row>
        <row r="369">
          <cell r="A369">
            <v>368</v>
          </cell>
          <cell r="B369" t="str">
            <v>Pg</v>
          </cell>
          <cell r="C369">
            <v>5</v>
          </cell>
          <cell r="D369">
            <v>190416</v>
          </cell>
          <cell r="E369">
            <v>250416</v>
          </cell>
          <cell r="F369" t="str">
            <v>For</v>
          </cell>
          <cell r="G369">
            <v>1278</v>
          </cell>
          <cell r="H369" t="str">
            <v>LUA NOVA IND.E COM.DE PROD.ALIMENT.LTDA.</v>
          </cell>
          <cell r="I369">
            <v>2337296</v>
          </cell>
          <cell r="J369">
            <v>1</v>
          </cell>
          <cell r="K369">
            <v>1</v>
          </cell>
          <cell r="L369">
            <v>341</v>
          </cell>
          <cell r="M369">
            <v>514.55999999999995</v>
          </cell>
          <cell r="N369">
            <v>0</v>
          </cell>
          <cell r="O369">
            <v>0</v>
          </cell>
          <cell r="P369">
            <v>4</v>
          </cell>
          <cell r="Q369">
            <v>250416</v>
          </cell>
        </row>
        <row r="370">
          <cell r="A370">
            <v>369</v>
          </cell>
          <cell r="B370" t="str">
            <v>Pg</v>
          </cell>
          <cell r="C370">
            <v>3</v>
          </cell>
          <cell r="D370">
            <v>190416</v>
          </cell>
          <cell r="E370">
            <v>250416</v>
          </cell>
          <cell r="F370" t="str">
            <v>For</v>
          </cell>
          <cell r="G370">
            <v>1278</v>
          </cell>
          <cell r="H370" t="str">
            <v>LUA NOVA IND.E COM.DE PROD.ALIMENT.LTDA.</v>
          </cell>
          <cell r="I370">
            <v>2337143</v>
          </cell>
          <cell r="J370">
            <v>1</v>
          </cell>
          <cell r="K370">
            <v>1</v>
          </cell>
          <cell r="L370">
            <v>341</v>
          </cell>
          <cell r="M370">
            <v>1156.98</v>
          </cell>
          <cell r="N370">
            <v>0</v>
          </cell>
          <cell r="O370">
            <v>0</v>
          </cell>
          <cell r="P370">
            <v>4</v>
          </cell>
          <cell r="Q370">
            <v>250416</v>
          </cell>
        </row>
        <row r="371">
          <cell r="A371">
            <v>370</v>
          </cell>
          <cell r="B371" t="str">
            <v>Pg</v>
          </cell>
          <cell r="C371">
            <v>3</v>
          </cell>
          <cell r="D371">
            <v>190416</v>
          </cell>
          <cell r="E371">
            <v>250416</v>
          </cell>
          <cell r="F371" t="str">
            <v>For</v>
          </cell>
          <cell r="G371">
            <v>1278</v>
          </cell>
          <cell r="H371" t="str">
            <v>LUA NOVA IND.E COM.DE PROD.ALIMENT.LTDA.</v>
          </cell>
          <cell r="I371">
            <v>2337144</v>
          </cell>
          <cell r="J371">
            <v>1</v>
          </cell>
          <cell r="K371">
            <v>1</v>
          </cell>
          <cell r="L371">
            <v>341</v>
          </cell>
          <cell r="M371">
            <v>708.09</v>
          </cell>
          <cell r="N371">
            <v>0</v>
          </cell>
          <cell r="O371">
            <v>0</v>
          </cell>
          <cell r="P371">
            <v>4</v>
          </cell>
          <cell r="Q371">
            <v>250416</v>
          </cell>
        </row>
        <row r="372">
          <cell r="A372">
            <v>371</v>
          </cell>
          <cell r="B372" t="str">
            <v>Pg</v>
          </cell>
          <cell r="C372">
            <v>1</v>
          </cell>
          <cell r="D372">
            <v>190416</v>
          </cell>
          <cell r="E372">
            <v>250416</v>
          </cell>
          <cell r="F372" t="str">
            <v>For</v>
          </cell>
          <cell r="G372">
            <v>1278</v>
          </cell>
          <cell r="H372" t="str">
            <v>LUA NOVA IND.E COM.DE PROD.ALIMENT.LTDA.</v>
          </cell>
          <cell r="I372">
            <v>2337298</v>
          </cell>
          <cell r="J372">
            <v>1</v>
          </cell>
          <cell r="K372">
            <v>1</v>
          </cell>
          <cell r="L372">
            <v>341</v>
          </cell>
          <cell r="M372">
            <v>1774.56</v>
          </cell>
          <cell r="N372">
            <v>0</v>
          </cell>
          <cell r="O372">
            <v>0</v>
          </cell>
          <cell r="P372">
            <v>4</v>
          </cell>
          <cell r="Q372">
            <v>250416</v>
          </cell>
        </row>
        <row r="373">
          <cell r="A373">
            <v>372</v>
          </cell>
          <cell r="B373" t="str">
            <v>Pg</v>
          </cell>
          <cell r="C373">
            <v>1</v>
          </cell>
          <cell r="D373">
            <v>190416</v>
          </cell>
          <cell r="E373">
            <v>250416</v>
          </cell>
          <cell r="F373" t="str">
            <v>For</v>
          </cell>
          <cell r="G373">
            <v>1278</v>
          </cell>
          <cell r="H373" t="str">
            <v>LUA NOVA IND.E COM.DE PROD.ALIMENT.LTDA.</v>
          </cell>
          <cell r="I373">
            <v>2337299</v>
          </cell>
          <cell r="J373">
            <v>1</v>
          </cell>
          <cell r="K373">
            <v>1</v>
          </cell>
          <cell r="L373">
            <v>341</v>
          </cell>
          <cell r="M373">
            <v>1160.3599999999999</v>
          </cell>
          <cell r="N373">
            <v>0</v>
          </cell>
          <cell r="O373">
            <v>0</v>
          </cell>
          <cell r="P373">
            <v>4</v>
          </cell>
          <cell r="Q373">
            <v>250416</v>
          </cell>
        </row>
        <row r="374">
          <cell r="A374">
            <v>373</v>
          </cell>
          <cell r="B374" t="str">
            <v>Pg</v>
          </cell>
          <cell r="C374">
            <v>6</v>
          </cell>
          <cell r="D374">
            <v>200416</v>
          </cell>
          <cell r="E374">
            <v>250416</v>
          </cell>
          <cell r="F374" t="str">
            <v>For</v>
          </cell>
          <cell r="G374">
            <v>2260</v>
          </cell>
          <cell r="H374" t="str">
            <v>MK COMERCIO ATACADISTA DE UTENSILIOS DOM EIRELI ME</v>
          </cell>
          <cell r="I374">
            <v>4637</v>
          </cell>
          <cell r="J374">
            <v>1</v>
          </cell>
          <cell r="K374">
            <v>1</v>
          </cell>
          <cell r="L374">
            <v>341</v>
          </cell>
          <cell r="M374">
            <v>9535.7999999999993</v>
          </cell>
          <cell r="N374">
            <v>0</v>
          </cell>
          <cell r="O374">
            <v>0</v>
          </cell>
          <cell r="P374">
            <v>4</v>
          </cell>
          <cell r="Q374">
            <v>250416</v>
          </cell>
        </row>
        <row r="375">
          <cell r="A375">
            <v>374</v>
          </cell>
          <cell r="B375" t="str">
            <v>Pg</v>
          </cell>
          <cell r="C375">
            <v>6</v>
          </cell>
          <cell r="D375">
            <v>220416</v>
          </cell>
          <cell r="E375">
            <v>250416</v>
          </cell>
          <cell r="F375" t="str">
            <v>For</v>
          </cell>
          <cell r="G375">
            <v>1472</v>
          </cell>
          <cell r="H375" t="str">
            <v>MECANICA E ESTAMPARIA SAO BERNARDO LTDA</v>
          </cell>
          <cell r="I375">
            <v>54858</v>
          </cell>
          <cell r="J375">
            <v>1</v>
          </cell>
          <cell r="K375">
            <v>1</v>
          </cell>
          <cell r="L375">
            <v>341</v>
          </cell>
          <cell r="M375">
            <v>26948.240000000002</v>
          </cell>
          <cell r="N375">
            <v>0</v>
          </cell>
          <cell r="O375">
            <v>0</v>
          </cell>
          <cell r="P375">
            <v>4</v>
          </cell>
          <cell r="Q375">
            <v>250416</v>
          </cell>
        </row>
        <row r="376">
          <cell r="A376">
            <v>375</v>
          </cell>
          <cell r="B376" t="str">
            <v>Pg</v>
          </cell>
          <cell r="C376">
            <v>6</v>
          </cell>
          <cell r="D376">
            <v>30216</v>
          </cell>
          <cell r="E376">
            <v>260416</v>
          </cell>
          <cell r="F376" t="str">
            <v>For</v>
          </cell>
          <cell r="G376">
            <v>110</v>
          </cell>
          <cell r="H376" t="str">
            <v>IMPORIENTE COMERCIO EXTERIOR LTDA</v>
          </cell>
          <cell r="I376">
            <v>40315</v>
          </cell>
          <cell r="J376">
            <v>1</v>
          </cell>
          <cell r="K376">
            <v>1</v>
          </cell>
          <cell r="L376">
            <v>341</v>
          </cell>
          <cell r="M376">
            <v>13571.87</v>
          </cell>
          <cell r="N376">
            <v>-349.6</v>
          </cell>
          <cell r="O376">
            <v>0</v>
          </cell>
          <cell r="P376">
            <v>4</v>
          </cell>
          <cell r="Q376">
            <v>260416</v>
          </cell>
        </row>
        <row r="377">
          <cell r="A377">
            <v>376</v>
          </cell>
          <cell r="B377" t="str">
            <v>Pg</v>
          </cell>
          <cell r="C377">
            <v>3</v>
          </cell>
          <cell r="D377">
            <v>290316</v>
          </cell>
          <cell r="E377">
            <v>260416</v>
          </cell>
          <cell r="F377" t="str">
            <v>For</v>
          </cell>
          <cell r="G377">
            <v>2316</v>
          </cell>
          <cell r="H377" t="str">
            <v>NOVA CAMPINAS DISTRIBUIDORA DE ALIMENTOS LTDA</v>
          </cell>
          <cell r="I377">
            <v>291400</v>
          </cell>
          <cell r="J377">
            <v>1</v>
          </cell>
          <cell r="K377">
            <v>2</v>
          </cell>
          <cell r="L377">
            <v>341</v>
          </cell>
          <cell r="M377">
            <v>765.33</v>
          </cell>
          <cell r="N377">
            <v>0</v>
          </cell>
          <cell r="O377">
            <v>0</v>
          </cell>
          <cell r="P377">
            <v>4</v>
          </cell>
          <cell r="Q377">
            <v>260416</v>
          </cell>
        </row>
        <row r="378">
          <cell r="A378">
            <v>377</v>
          </cell>
          <cell r="B378" t="str">
            <v>Pg</v>
          </cell>
          <cell r="C378">
            <v>1</v>
          </cell>
          <cell r="D378">
            <v>290316</v>
          </cell>
          <cell r="E378">
            <v>260416</v>
          </cell>
          <cell r="F378" t="str">
            <v>For</v>
          </cell>
          <cell r="G378">
            <v>2316</v>
          </cell>
          <cell r="H378" t="str">
            <v>NOVA CAMPINAS DISTRIBUIDORA DE ALIMENTOS LTDA</v>
          </cell>
          <cell r="I378">
            <v>291280</v>
          </cell>
          <cell r="J378">
            <v>1</v>
          </cell>
          <cell r="K378">
            <v>2</v>
          </cell>
          <cell r="L378">
            <v>341</v>
          </cell>
          <cell r="M378">
            <v>928.17</v>
          </cell>
          <cell r="N378">
            <v>0</v>
          </cell>
          <cell r="O378">
            <v>0</v>
          </cell>
          <cell r="P378">
            <v>4</v>
          </cell>
          <cell r="Q378">
            <v>260416</v>
          </cell>
        </row>
        <row r="379">
          <cell r="A379">
            <v>378</v>
          </cell>
          <cell r="B379" t="str">
            <v>Pg</v>
          </cell>
          <cell r="C379">
            <v>5</v>
          </cell>
          <cell r="D379">
            <v>290316</v>
          </cell>
          <cell r="E379">
            <v>260416</v>
          </cell>
          <cell r="F379" t="str">
            <v>For</v>
          </cell>
          <cell r="G379">
            <v>2316</v>
          </cell>
          <cell r="H379" t="str">
            <v>NOVA CAMPINAS DISTRIBUIDORA DE ALIMENTOS LTDA</v>
          </cell>
          <cell r="I379">
            <v>291281</v>
          </cell>
          <cell r="J379">
            <v>1</v>
          </cell>
          <cell r="K379">
            <v>2</v>
          </cell>
          <cell r="L379">
            <v>341</v>
          </cell>
          <cell r="M379">
            <v>765.33</v>
          </cell>
          <cell r="N379">
            <v>0</v>
          </cell>
          <cell r="O379">
            <v>0</v>
          </cell>
          <cell r="P379">
            <v>4</v>
          </cell>
          <cell r="Q379">
            <v>260416</v>
          </cell>
        </row>
        <row r="380">
          <cell r="A380">
            <v>379</v>
          </cell>
          <cell r="B380" t="str">
            <v>Pg</v>
          </cell>
          <cell r="C380">
            <v>3</v>
          </cell>
          <cell r="D380">
            <v>300316</v>
          </cell>
          <cell r="E380">
            <v>260416</v>
          </cell>
          <cell r="F380" t="str">
            <v>For</v>
          </cell>
          <cell r="G380">
            <v>2799</v>
          </cell>
          <cell r="H380" t="str">
            <v>TOP SERVICE DIST DE PROD DE CON PESSOAL LTDA</v>
          </cell>
          <cell r="I380">
            <v>133257</v>
          </cell>
          <cell r="J380">
            <v>1</v>
          </cell>
          <cell r="K380">
            <v>1</v>
          </cell>
          <cell r="L380">
            <v>341</v>
          </cell>
          <cell r="M380">
            <v>518.75</v>
          </cell>
          <cell r="N380">
            <v>0</v>
          </cell>
          <cell r="O380">
            <v>0</v>
          </cell>
          <cell r="P380">
            <v>4</v>
          </cell>
          <cell r="Q380">
            <v>260416</v>
          </cell>
        </row>
        <row r="381">
          <cell r="A381">
            <v>380</v>
          </cell>
          <cell r="B381" t="str">
            <v>Pg</v>
          </cell>
          <cell r="C381">
            <v>3</v>
          </cell>
          <cell r="D381">
            <v>10416</v>
          </cell>
          <cell r="E381">
            <v>260416</v>
          </cell>
          <cell r="F381" t="str">
            <v>For</v>
          </cell>
          <cell r="G381">
            <v>2198</v>
          </cell>
          <cell r="H381" t="str">
            <v>LIDERANCA DE ABAST DE ART DE HIGIENE AO VAREJISTA LTDA</v>
          </cell>
          <cell r="I381">
            <v>510799</v>
          </cell>
          <cell r="J381">
            <v>1</v>
          </cell>
          <cell r="K381">
            <v>1</v>
          </cell>
          <cell r="L381">
            <v>341</v>
          </cell>
          <cell r="M381">
            <v>219.6</v>
          </cell>
          <cell r="N381">
            <v>0</v>
          </cell>
          <cell r="O381">
            <v>0</v>
          </cell>
          <cell r="P381">
            <v>4</v>
          </cell>
          <cell r="Q381">
            <v>260416</v>
          </cell>
        </row>
        <row r="382">
          <cell r="A382">
            <v>381</v>
          </cell>
          <cell r="B382" t="str">
            <v>Pg</v>
          </cell>
          <cell r="C382">
            <v>3</v>
          </cell>
          <cell r="D382">
            <v>10416</v>
          </cell>
          <cell r="E382">
            <v>260416</v>
          </cell>
          <cell r="F382" t="str">
            <v>For</v>
          </cell>
          <cell r="G382">
            <v>2965</v>
          </cell>
          <cell r="H382" t="str">
            <v>PREMIUM COMERCIO DE PRODUTOS DE USO PESSOAL LTDA</v>
          </cell>
          <cell r="I382">
            <v>501</v>
          </cell>
          <cell r="J382">
            <v>1</v>
          </cell>
          <cell r="K382">
            <v>1</v>
          </cell>
          <cell r="L382">
            <v>341</v>
          </cell>
          <cell r="M382">
            <v>451.26</v>
          </cell>
          <cell r="N382">
            <v>0</v>
          </cell>
          <cell r="O382">
            <v>0</v>
          </cell>
          <cell r="P382">
            <v>4</v>
          </cell>
          <cell r="Q382">
            <v>260416</v>
          </cell>
        </row>
        <row r="383">
          <cell r="A383">
            <v>382</v>
          </cell>
          <cell r="B383" t="str">
            <v>Pg</v>
          </cell>
          <cell r="C383">
            <v>6</v>
          </cell>
          <cell r="D383">
            <v>60416</v>
          </cell>
          <cell r="E383">
            <v>260416</v>
          </cell>
          <cell r="F383" t="str">
            <v>For</v>
          </cell>
          <cell r="G383">
            <v>1807</v>
          </cell>
          <cell r="H383" t="str">
            <v>FERRASPARI IND. E COM.DE BEBIDAS LTDA</v>
          </cell>
          <cell r="I383">
            <v>72958</v>
          </cell>
          <cell r="J383">
            <v>1</v>
          </cell>
          <cell r="K383">
            <v>1</v>
          </cell>
          <cell r="L383">
            <v>341</v>
          </cell>
          <cell r="M383">
            <v>6696.24</v>
          </cell>
          <cell r="N383">
            <v>0</v>
          </cell>
          <cell r="O383">
            <v>0</v>
          </cell>
          <cell r="P383">
            <v>4</v>
          </cell>
          <cell r="Q383">
            <v>260416</v>
          </cell>
        </row>
        <row r="384">
          <cell r="A384">
            <v>383</v>
          </cell>
          <cell r="B384" t="str">
            <v>Pg</v>
          </cell>
          <cell r="C384">
            <v>6</v>
          </cell>
          <cell r="D384">
            <v>140416</v>
          </cell>
          <cell r="E384">
            <v>260416</v>
          </cell>
          <cell r="F384" t="str">
            <v>For</v>
          </cell>
          <cell r="G384">
            <v>1392</v>
          </cell>
          <cell r="H384" t="str">
            <v>PLASUTIL IND COM DE PLASTICOS LTDA</v>
          </cell>
          <cell r="I384">
            <v>385015</v>
          </cell>
          <cell r="J384">
            <v>1</v>
          </cell>
          <cell r="K384">
            <v>1</v>
          </cell>
          <cell r="L384">
            <v>341</v>
          </cell>
          <cell r="M384">
            <v>13180.36</v>
          </cell>
          <cell r="N384">
            <v>0</v>
          </cell>
          <cell r="O384">
            <v>0</v>
          </cell>
          <cell r="P384">
            <v>4</v>
          </cell>
          <cell r="Q384">
            <v>260416</v>
          </cell>
        </row>
        <row r="385">
          <cell r="A385">
            <v>384</v>
          </cell>
          <cell r="B385" t="str">
            <v>Pg</v>
          </cell>
          <cell r="C385">
            <v>6</v>
          </cell>
          <cell r="D385">
            <v>140416</v>
          </cell>
          <cell r="E385">
            <v>260416</v>
          </cell>
          <cell r="F385" t="str">
            <v>For</v>
          </cell>
          <cell r="G385">
            <v>1392</v>
          </cell>
          <cell r="H385" t="str">
            <v>PLASUTIL IND COM DE PLASTICOS LTDA</v>
          </cell>
          <cell r="I385">
            <v>385014</v>
          </cell>
          <cell r="J385">
            <v>1</v>
          </cell>
          <cell r="K385">
            <v>1</v>
          </cell>
          <cell r="L385">
            <v>341</v>
          </cell>
          <cell r="M385">
            <v>133467.95000000001</v>
          </cell>
          <cell r="N385">
            <v>0</v>
          </cell>
          <cell r="O385">
            <v>0</v>
          </cell>
          <cell r="P385">
            <v>4</v>
          </cell>
          <cell r="Q385">
            <v>260416</v>
          </cell>
        </row>
        <row r="386">
          <cell r="A386">
            <v>385</v>
          </cell>
          <cell r="B386" t="str">
            <v>Pg</v>
          </cell>
          <cell r="C386">
            <v>6</v>
          </cell>
          <cell r="D386">
            <v>220416</v>
          </cell>
          <cell r="E386">
            <v>260416</v>
          </cell>
          <cell r="F386" t="str">
            <v>For</v>
          </cell>
          <cell r="G386">
            <v>2146</v>
          </cell>
          <cell r="H386" t="str">
            <v>FRANCISCO IVAN SOUZA ME</v>
          </cell>
          <cell r="I386">
            <v>1577</v>
          </cell>
          <cell r="J386">
            <v>1</v>
          </cell>
          <cell r="K386">
            <v>1</v>
          </cell>
          <cell r="L386">
            <v>341</v>
          </cell>
          <cell r="M386">
            <v>20989.599999999999</v>
          </cell>
          <cell r="N386">
            <v>0</v>
          </cell>
          <cell r="O386">
            <v>0</v>
          </cell>
          <cell r="P386">
            <v>4</v>
          </cell>
          <cell r="Q386">
            <v>260416</v>
          </cell>
        </row>
        <row r="387">
          <cell r="A387">
            <v>386</v>
          </cell>
          <cell r="B387" t="str">
            <v>Pg</v>
          </cell>
          <cell r="C387">
            <v>6</v>
          </cell>
          <cell r="D387">
            <v>220416</v>
          </cell>
          <cell r="E387">
            <v>260416</v>
          </cell>
          <cell r="F387" t="str">
            <v>For</v>
          </cell>
          <cell r="G387">
            <v>2146</v>
          </cell>
          <cell r="H387" t="str">
            <v>FRANCISCO IVAN SOUZA ME</v>
          </cell>
          <cell r="I387">
            <v>1578</v>
          </cell>
          <cell r="J387">
            <v>1</v>
          </cell>
          <cell r="K387">
            <v>1</v>
          </cell>
          <cell r="L387">
            <v>341</v>
          </cell>
          <cell r="M387">
            <v>1800</v>
          </cell>
          <cell r="N387">
            <v>0</v>
          </cell>
          <cell r="O387">
            <v>0</v>
          </cell>
          <cell r="P387">
            <v>4</v>
          </cell>
          <cell r="Q387">
            <v>260416</v>
          </cell>
        </row>
        <row r="388">
          <cell r="A388">
            <v>387</v>
          </cell>
          <cell r="B388" t="str">
            <v>Pg</v>
          </cell>
          <cell r="C388">
            <v>6</v>
          </cell>
          <cell r="D388">
            <v>50216</v>
          </cell>
          <cell r="E388">
            <v>270416</v>
          </cell>
          <cell r="F388" t="str">
            <v>For</v>
          </cell>
          <cell r="G388">
            <v>2819</v>
          </cell>
          <cell r="H388" t="str">
            <v>FORT SOLUTIONS COM IMP EXP LTDA</v>
          </cell>
          <cell r="I388">
            <v>11621</v>
          </cell>
          <cell r="J388">
            <v>3</v>
          </cell>
          <cell r="K388">
            <v>4</v>
          </cell>
          <cell r="L388">
            <v>341</v>
          </cell>
          <cell r="M388">
            <v>7257.57</v>
          </cell>
          <cell r="N388">
            <v>0</v>
          </cell>
          <cell r="O388">
            <v>0</v>
          </cell>
          <cell r="P388">
            <v>4</v>
          </cell>
          <cell r="Q388">
            <v>270416</v>
          </cell>
        </row>
        <row r="389">
          <cell r="A389">
            <v>388</v>
          </cell>
          <cell r="B389" t="str">
            <v>Pg</v>
          </cell>
          <cell r="C389">
            <v>6</v>
          </cell>
          <cell r="D389">
            <v>180216</v>
          </cell>
          <cell r="E389">
            <v>270416</v>
          </cell>
          <cell r="F389" t="str">
            <v>For</v>
          </cell>
          <cell r="G389">
            <v>2358</v>
          </cell>
          <cell r="H389" t="str">
            <v>GALA - IBB IND. BRAS. DE BRINQ. E EMB. LTDA</v>
          </cell>
          <cell r="I389">
            <v>45215</v>
          </cell>
          <cell r="J389">
            <v>1</v>
          </cell>
          <cell r="K389">
            <v>2</v>
          </cell>
          <cell r="L389">
            <v>341</v>
          </cell>
          <cell r="M389">
            <v>10417.040000000001</v>
          </cell>
          <cell r="N389">
            <v>0</v>
          </cell>
          <cell r="O389">
            <v>0</v>
          </cell>
          <cell r="P389">
            <v>4</v>
          </cell>
          <cell r="Q389">
            <v>270416</v>
          </cell>
        </row>
        <row r="390">
          <cell r="A390">
            <v>389</v>
          </cell>
          <cell r="B390" t="str">
            <v>Pg</v>
          </cell>
          <cell r="C390">
            <v>6</v>
          </cell>
          <cell r="D390">
            <v>310316</v>
          </cell>
          <cell r="E390">
            <v>270416</v>
          </cell>
          <cell r="F390" t="str">
            <v>For</v>
          </cell>
          <cell r="G390">
            <v>2215</v>
          </cell>
          <cell r="H390" t="str">
            <v>ROMANATO ALIMENTOS LTDA</v>
          </cell>
          <cell r="I390">
            <v>23823</v>
          </cell>
          <cell r="J390">
            <v>1</v>
          </cell>
          <cell r="K390">
            <v>1</v>
          </cell>
          <cell r="L390">
            <v>999</v>
          </cell>
          <cell r="M390">
            <v>4684.53</v>
          </cell>
          <cell r="N390">
            <v>0</v>
          </cell>
          <cell r="O390">
            <v>0</v>
          </cell>
          <cell r="P390">
            <v>4</v>
          </cell>
          <cell r="Q390">
            <v>260416</v>
          </cell>
        </row>
        <row r="391">
          <cell r="A391">
            <v>390</v>
          </cell>
          <cell r="B391" t="str">
            <v>Pg</v>
          </cell>
          <cell r="C391">
            <v>6</v>
          </cell>
          <cell r="D391">
            <v>70416</v>
          </cell>
          <cell r="E391">
            <v>270416</v>
          </cell>
          <cell r="F391" t="str">
            <v>For</v>
          </cell>
          <cell r="G391">
            <v>948</v>
          </cell>
          <cell r="H391" t="str">
            <v>ALUMINIO MARCOLAR LTDA</v>
          </cell>
          <cell r="I391">
            <v>28178</v>
          </cell>
          <cell r="J391">
            <v>1</v>
          </cell>
          <cell r="K391">
            <v>1</v>
          </cell>
          <cell r="L391">
            <v>341</v>
          </cell>
          <cell r="M391">
            <v>32928.46</v>
          </cell>
          <cell r="N391">
            <v>0</v>
          </cell>
          <cell r="O391">
            <v>0</v>
          </cell>
          <cell r="P391">
            <v>4</v>
          </cell>
          <cell r="Q391">
            <v>270416</v>
          </cell>
        </row>
        <row r="392">
          <cell r="A392">
            <v>391</v>
          </cell>
          <cell r="B392" t="str">
            <v>Pg</v>
          </cell>
          <cell r="C392">
            <v>6</v>
          </cell>
          <cell r="D392">
            <v>140416</v>
          </cell>
          <cell r="E392">
            <v>270416</v>
          </cell>
          <cell r="F392" t="str">
            <v>For</v>
          </cell>
          <cell r="G392">
            <v>1016</v>
          </cell>
          <cell r="H392" t="str">
            <v>IND E COM DE UTIL. DOM. INJETEMP LTDA</v>
          </cell>
          <cell r="I392">
            <v>27059</v>
          </cell>
          <cell r="J392">
            <v>1</v>
          </cell>
          <cell r="K392">
            <v>1</v>
          </cell>
          <cell r="L392">
            <v>341</v>
          </cell>
          <cell r="M392">
            <v>25720.84</v>
          </cell>
          <cell r="N392">
            <v>-561.77</v>
          </cell>
          <cell r="O392">
            <v>0</v>
          </cell>
          <cell r="P392">
            <v>4</v>
          </cell>
          <cell r="Q392">
            <v>270416</v>
          </cell>
        </row>
        <row r="393">
          <cell r="A393">
            <v>392</v>
          </cell>
          <cell r="B393" t="str">
            <v>Pg</v>
          </cell>
          <cell r="C393">
            <v>6</v>
          </cell>
          <cell r="D393">
            <v>190416</v>
          </cell>
          <cell r="E393">
            <v>270416</v>
          </cell>
          <cell r="F393" t="str">
            <v>For</v>
          </cell>
          <cell r="G393">
            <v>1533</v>
          </cell>
          <cell r="H393" t="str">
            <v>TRAMONTINA S/A CUTELARIA</v>
          </cell>
          <cell r="I393">
            <v>330718</v>
          </cell>
          <cell r="J393">
            <v>1</v>
          </cell>
          <cell r="K393">
            <v>1</v>
          </cell>
          <cell r="L393">
            <v>341</v>
          </cell>
          <cell r="M393">
            <v>32613.24</v>
          </cell>
          <cell r="N393">
            <v>0</v>
          </cell>
          <cell r="O393">
            <v>0</v>
          </cell>
          <cell r="P393">
            <v>4</v>
          </cell>
          <cell r="Q393">
            <v>270416</v>
          </cell>
        </row>
        <row r="394">
          <cell r="A394">
            <v>393</v>
          </cell>
          <cell r="B394" t="str">
            <v>Pg</v>
          </cell>
          <cell r="C394">
            <v>6</v>
          </cell>
          <cell r="D394">
            <v>250416</v>
          </cell>
          <cell r="E394">
            <v>270416</v>
          </cell>
          <cell r="F394" t="str">
            <v>For</v>
          </cell>
          <cell r="G394">
            <v>2698</v>
          </cell>
          <cell r="H394" t="str">
            <v>ANDREIA APARECIDA DE OLIVEIRA MENDES</v>
          </cell>
          <cell r="I394">
            <v>99</v>
          </cell>
          <cell r="J394">
            <v>1</v>
          </cell>
          <cell r="K394">
            <v>1</v>
          </cell>
          <cell r="L394">
            <v>341</v>
          </cell>
          <cell r="M394">
            <v>9925</v>
          </cell>
          <cell r="N394">
            <v>0</v>
          </cell>
          <cell r="O394">
            <v>0</v>
          </cell>
          <cell r="P394">
            <v>14</v>
          </cell>
          <cell r="Q394">
            <v>270416</v>
          </cell>
        </row>
        <row r="395">
          <cell r="A395">
            <v>394</v>
          </cell>
          <cell r="B395" t="str">
            <v>Pg</v>
          </cell>
          <cell r="C395">
            <v>6</v>
          </cell>
          <cell r="D395">
            <v>240316</v>
          </cell>
          <cell r="E395">
            <v>280416</v>
          </cell>
          <cell r="F395" t="str">
            <v>For</v>
          </cell>
          <cell r="G395">
            <v>1530</v>
          </cell>
          <cell r="H395" t="str">
            <v>SANREMO S.A</v>
          </cell>
          <cell r="I395">
            <v>207990</v>
          </cell>
          <cell r="J395">
            <v>1</v>
          </cell>
          <cell r="K395">
            <v>1</v>
          </cell>
          <cell r="L395">
            <v>237</v>
          </cell>
          <cell r="M395">
            <v>69462.850000000006</v>
          </cell>
          <cell r="N395">
            <v>0</v>
          </cell>
          <cell r="O395">
            <v>0</v>
          </cell>
          <cell r="P395">
            <v>4</v>
          </cell>
          <cell r="Q395">
            <v>280416</v>
          </cell>
        </row>
        <row r="396">
          <cell r="A396">
            <v>395</v>
          </cell>
          <cell r="B396" t="str">
            <v>Pg</v>
          </cell>
          <cell r="C396">
            <v>6</v>
          </cell>
          <cell r="D396">
            <v>240316</v>
          </cell>
          <cell r="E396">
            <v>280416</v>
          </cell>
          <cell r="F396" t="str">
            <v>For</v>
          </cell>
          <cell r="G396">
            <v>1530</v>
          </cell>
          <cell r="H396" t="str">
            <v>SANREMO S.A</v>
          </cell>
          <cell r="I396">
            <v>207991</v>
          </cell>
          <cell r="J396">
            <v>1</v>
          </cell>
          <cell r="K396">
            <v>1</v>
          </cell>
          <cell r="L396">
            <v>237</v>
          </cell>
          <cell r="M396">
            <v>1516.7</v>
          </cell>
          <cell r="N396">
            <v>0</v>
          </cell>
          <cell r="O396">
            <v>0</v>
          </cell>
          <cell r="P396">
            <v>4</v>
          </cell>
          <cell r="Q396">
            <v>280416</v>
          </cell>
        </row>
        <row r="397">
          <cell r="A397">
            <v>396</v>
          </cell>
          <cell r="B397" t="str">
            <v>Pg</v>
          </cell>
          <cell r="C397">
            <v>6</v>
          </cell>
          <cell r="D397">
            <v>240316</v>
          </cell>
          <cell r="E397">
            <v>280416</v>
          </cell>
          <cell r="F397" t="str">
            <v>For</v>
          </cell>
          <cell r="G397">
            <v>1530</v>
          </cell>
          <cell r="H397" t="str">
            <v>SANREMO S.A</v>
          </cell>
          <cell r="I397">
            <v>207988</v>
          </cell>
          <cell r="J397">
            <v>1</v>
          </cell>
          <cell r="K397">
            <v>1</v>
          </cell>
          <cell r="L397">
            <v>237</v>
          </cell>
          <cell r="M397">
            <v>40725.96</v>
          </cell>
          <cell r="N397">
            <v>3824.98</v>
          </cell>
          <cell r="O397">
            <v>0</v>
          </cell>
          <cell r="P397">
            <v>4</v>
          </cell>
          <cell r="Q397">
            <v>280416</v>
          </cell>
        </row>
        <row r="398">
          <cell r="A398">
            <v>397</v>
          </cell>
          <cell r="B398" t="str">
            <v>Pg</v>
          </cell>
          <cell r="C398">
            <v>6</v>
          </cell>
          <cell r="D398">
            <v>310316</v>
          </cell>
          <cell r="E398">
            <v>280416</v>
          </cell>
          <cell r="F398" t="str">
            <v>For</v>
          </cell>
          <cell r="G398">
            <v>77</v>
          </cell>
          <cell r="H398" t="str">
            <v>BRAS CONTINENTAL IMP. E EXP. LTDA</v>
          </cell>
          <cell r="I398">
            <v>80637</v>
          </cell>
          <cell r="J398">
            <v>1</v>
          </cell>
          <cell r="K398">
            <v>1</v>
          </cell>
          <cell r="L398">
            <v>237</v>
          </cell>
          <cell r="M398">
            <v>9336.69</v>
          </cell>
          <cell r="N398">
            <v>0</v>
          </cell>
          <cell r="O398">
            <v>0</v>
          </cell>
          <cell r="P398">
            <v>4</v>
          </cell>
          <cell r="Q398">
            <v>280416</v>
          </cell>
        </row>
        <row r="399">
          <cell r="A399">
            <v>398</v>
          </cell>
          <cell r="B399" t="str">
            <v>Pg</v>
          </cell>
          <cell r="C399">
            <v>6</v>
          </cell>
          <cell r="D399">
            <v>310316</v>
          </cell>
          <cell r="E399">
            <v>280416</v>
          </cell>
          <cell r="F399" t="str">
            <v>For</v>
          </cell>
          <cell r="G399">
            <v>1291</v>
          </cell>
          <cell r="H399" t="str">
            <v>INJEPLASTEC IND E COM DE PLAST LTDA EPP-INJEPLASTEC</v>
          </cell>
          <cell r="I399">
            <v>35012</v>
          </cell>
          <cell r="J399">
            <v>1</v>
          </cell>
          <cell r="K399">
            <v>2</v>
          </cell>
          <cell r="L399">
            <v>237</v>
          </cell>
          <cell r="M399">
            <v>16816.14</v>
          </cell>
          <cell r="N399">
            <v>0</v>
          </cell>
          <cell r="O399">
            <v>0</v>
          </cell>
          <cell r="P399">
            <v>4</v>
          </cell>
          <cell r="Q399">
            <v>280416</v>
          </cell>
        </row>
        <row r="400">
          <cell r="A400">
            <v>399</v>
          </cell>
          <cell r="B400" t="str">
            <v>Pg</v>
          </cell>
          <cell r="C400">
            <v>6</v>
          </cell>
          <cell r="D400">
            <v>310316</v>
          </cell>
          <cell r="E400">
            <v>280416</v>
          </cell>
          <cell r="F400" t="str">
            <v>For</v>
          </cell>
          <cell r="G400">
            <v>2215</v>
          </cell>
          <cell r="H400" t="str">
            <v>ROMANATO ALIMENTOS LTDA</v>
          </cell>
          <cell r="I400">
            <v>23834</v>
          </cell>
          <cell r="J400">
            <v>1</v>
          </cell>
          <cell r="K400">
            <v>1</v>
          </cell>
          <cell r="L400">
            <v>237</v>
          </cell>
          <cell r="M400">
            <v>151.86000000000001</v>
          </cell>
          <cell r="N400">
            <v>0</v>
          </cell>
          <cell r="O400">
            <v>0</v>
          </cell>
          <cell r="P400">
            <v>4</v>
          </cell>
          <cell r="Q400">
            <v>280416</v>
          </cell>
        </row>
        <row r="401">
          <cell r="A401">
            <v>400</v>
          </cell>
          <cell r="B401" t="str">
            <v>Pg</v>
          </cell>
          <cell r="C401">
            <v>3</v>
          </cell>
          <cell r="D401">
            <v>310316</v>
          </cell>
          <cell r="E401">
            <v>280416</v>
          </cell>
          <cell r="F401" t="str">
            <v>For</v>
          </cell>
          <cell r="G401">
            <v>2728</v>
          </cell>
          <cell r="H401" t="str">
            <v>LOG ACESS DIST E LOG DE PROD DE HIG E LIMP LTDA</v>
          </cell>
          <cell r="I401">
            <v>329174</v>
          </cell>
          <cell r="J401">
            <v>1</v>
          </cell>
          <cell r="K401">
            <v>1</v>
          </cell>
          <cell r="L401">
            <v>237</v>
          </cell>
          <cell r="M401">
            <v>767.76</v>
          </cell>
          <cell r="N401">
            <v>0</v>
          </cell>
          <cell r="O401">
            <v>0</v>
          </cell>
          <cell r="P401">
            <v>4</v>
          </cell>
          <cell r="Q401">
            <v>280416</v>
          </cell>
        </row>
        <row r="402">
          <cell r="A402">
            <v>401</v>
          </cell>
          <cell r="B402" t="str">
            <v>Pg</v>
          </cell>
          <cell r="C402">
            <v>6</v>
          </cell>
          <cell r="D402">
            <v>40416</v>
          </cell>
          <cell r="E402">
            <v>280416</v>
          </cell>
          <cell r="F402" t="str">
            <v>For</v>
          </cell>
          <cell r="G402">
            <v>2966</v>
          </cell>
          <cell r="H402" t="str">
            <v>J.J. NOBRE PRODUTOS PARA JARDINAGEM LTDA - EPP</v>
          </cell>
          <cell r="I402">
            <v>1</v>
          </cell>
          <cell r="J402">
            <v>1</v>
          </cell>
          <cell r="K402">
            <v>1</v>
          </cell>
          <cell r="L402">
            <v>237</v>
          </cell>
          <cell r="M402">
            <v>6910</v>
          </cell>
          <cell r="N402">
            <v>0</v>
          </cell>
          <cell r="O402">
            <v>0</v>
          </cell>
          <cell r="P402">
            <v>4</v>
          </cell>
          <cell r="Q402">
            <v>280416</v>
          </cell>
        </row>
        <row r="403">
          <cell r="A403">
            <v>402</v>
          </cell>
          <cell r="B403" t="str">
            <v>Pg</v>
          </cell>
          <cell r="C403">
            <v>6</v>
          </cell>
          <cell r="D403">
            <v>70416</v>
          </cell>
          <cell r="E403">
            <v>280416</v>
          </cell>
          <cell r="F403" t="str">
            <v>For</v>
          </cell>
          <cell r="G403">
            <v>2110</v>
          </cell>
          <cell r="H403" t="str">
            <v>EVER GREEN INDUSTRIA E COMERCIO LTDA</v>
          </cell>
          <cell r="I403">
            <v>76421</v>
          </cell>
          <cell r="J403">
            <v>1</v>
          </cell>
          <cell r="K403">
            <v>1</v>
          </cell>
          <cell r="L403">
            <v>237</v>
          </cell>
          <cell r="M403">
            <v>57335.16</v>
          </cell>
          <cell r="N403">
            <v>0</v>
          </cell>
          <cell r="O403">
            <v>0</v>
          </cell>
          <cell r="P403">
            <v>4</v>
          </cell>
          <cell r="Q403">
            <v>280416</v>
          </cell>
        </row>
        <row r="404">
          <cell r="A404">
            <v>403</v>
          </cell>
          <cell r="B404" t="str">
            <v>Pg</v>
          </cell>
          <cell r="C404">
            <v>6</v>
          </cell>
          <cell r="D404">
            <v>120416</v>
          </cell>
          <cell r="E404">
            <v>280416</v>
          </cell>
          <cell r="F404" t="str">
            <v>For</v>
          </cell>
          <cell r="G404">
            <v>2980</v>
          </cell>
          <cell r="H404" t="str">
            <v>FLAMIN MINERACAO LTDA</v>
          </cell>
          <cell r="I404">
            <v>2492</v>
          </cell>
          <cell r="J404">
            <v>2</v>
          </cell>
          <cell r="K404">
            <v>2</v>
          </cell>
          <cell r="L404">
            <v>237</v>
          </cell>
          <cell r="M404">
            <v>1767.51</v>
          </cell>
          <cell r="N404">
            <v>0</v>
          </cell>
          <cell r="O404">
            <v>0</v>
          </cell>
          <cell r="P404">
            <v>4</v>
          </cell>
          <cell r="Q404">
            <v>280416</v>
          </cell>
        </row>
        <row r="405">
          <cell r="A405">
            <v>404</v>
          </cell>
          <cell r="B405" t="str">
            <v>Pg</v>
          </cell>
          <cell r="C405">
            <v>6</v>
          </cell>
          <cell r="D405">
            <v>130416</v>
          </cell>
          <cell r="E405">
            <v>280416</v>
          </cell>
          <cell r="F405" t="str">
            <v>For</v>
          </cell>
          <cell r="G405">
            <v>1638</v>
          </cell>
          <cell r="H405" t="str">
            <v>INDUSTRIA DE BRINQUEDOS JUNGES LTDA.</v>
          </cell>
          <cell r="I405">
            <v>9906</v>
          </cell>
          <cell r="J405">
            <v>1</v>
          </cell>
          <cell r="K405">
            <v>1</v>
          </cell>
          <cell r="L405">
            <v>237</v>
          </cell>
          <cell r="M405">
            <v>7940.88</v>
          </cell>
          <cell r="N405">
            <v>0</v>
          </cell>
          <cell r="O405">
            <v>0</v>
          </cell>
          <cell r="P405">
            <v>4</v>
          </cell>
          <cell r="Q405">
            <v>280416</v>
          </cell>
        </row>
        <row r="406">
          <cell r="A406">
            <v>405</v>
          </cell>
          <cell r="B406" t="str">
            <v>Pg</v>
          </cell>
          <cell r="C406">
            <v>9</v>
          </cell>
          <cell r="D406">
            <v>140416</v>
          </cell>
          <cell r="E406">
            <v>280416</v>
          </cell>
          <cell r="F406" t="str">
            <v>For</v>
          </cell>
          <cell r="G406">
            <v>1458</v>
          </cell>
          <cell r="H406" t="str">
            <v>DISTRIBUIDORA DE PRODUTOS ALIMENTICIOS MARSIL LTDA</v>
          </cell>
          <cell r="I406">
            <v>1296609</v>
          </cell>
          <cell r="J406">
            <v>1</v>
          </cell>
          <cell r="K406">
            <v>1</v>
          </cell>
          <cell r="L406">
            <v>237</v>
          </cell>
          <cell r="M406">
            <v>278.08</v>
          </cell>
          <cell r="N406">
            <v>0</v>
          </cell>
          <cell r="O406">
            <v>0</v>
          </cell>
          <cell r="P406">
            <v>4</v>
          </cell>
          <cell r="Q406">
            <v>280416</v>
          </cell>
        </row>
        <row r="407">
          <cell r="A407">
            <v>406</v>
          </cell>
          <cell r="B407" t="str">
            <v>Pg</v>
          </cell>
          <cell r="C407">
            <v>3</v>
          </cell>
          <cell r="D407">
            <v>250416</v>
          </cell>
          <cell r="E407">
            <v>280416</v>
          </cell>
          <cell r="F407" t="str">
            <v>For</v>
          </cell>
          <cell r="G407">
            <v>2160</v>
          </cell>
          <cell r="H407" t="str">
            <v>DESTRO BRASIL DISTRIBUICAO LTDA</v>
          </cell>
          <cell r="I407">
            <v>1070786</v>
          </cell>
          <cell r="J407">
            <v>1</v>
          </cell>
          <cell r="K407">
            <v>1</v>
          </cell>
          <cell r="L407">
            <v>237</v>
          </cell>
          <cell r="M407">
            <v>939.24</v>
          </cell>
          <cell r="N407">
            <v>0</v>
          </cell>
          <cell r="O407">
            <v>0</v>
          </cell>
          <cell r="P407">
            <v>4</v>
          </cell>
          <cell r="Q407">
            <v>280416</v>
          </cell>
        </row>
        <row r="408">
          <cell r="A408">
            <v>407</v>
          </cell>
          <cell r="B408" t="str">
            <v>Pg</v>
          </cell>
          <cell r="C408">
            <v>3</v>
          </cell>
          <cell r="D408">
            <v>250416</v>
          </cell>
          <cell r="E408">
            <v>280416</v>
          </cell>
          <cell r="F408" t="str">
            <v>For</v>
          </cell>
          <cell r="G408">
            <v>2160</v>
          </cell>
          <cell r="H408" t="str">
            <v>DESTRO BRASIL DISTRIBUICAO LTDA</v>
          </cell>
          <cell r="I408">
            <v>1070787</v>
          </cell>
          <cell r="J408">
            <v>1</v>
          </cell>
          <cell r="K408">
            <v>1</v>
          </cell>
          <cell r="L408">
            <v>237</v>
          </cell>
          <cell r="M408">
            <v>1035.3599999999999</v>
          </cell>
          <cell r="N408">
            <v>118.68</v>
          </cell>
          <cell r="O408">
            <v>0</v>
          </cell>
          <cell r="P408">
            <v>4</v>
          </cell>
          <cell r="Q408">
            <v>280416</v>
          </cell>
        </row>
        <row r="409">
          <cell r="A409">
            <v>408</v>
          </cell>
          <cell r="B409" t="str">
            <v>Pg</v>
          </cell>
          <cell r="C409">
            <v>1</v>
          </cell>
          <cell r="D409">
            <v>260416</v>
          </cell>
          <cell r="E409">
            <v>280416</v>
          </cell>
          <cell r="F409" t="str">
            <v>For</v>
          </cell>
          <cell r="G409">
            <v>2955</v>
          </cell>
          <cell r="H409" t="str">
            <v>SCANSOURCE BRASIL DISTRIBUIDORA DE TECNOLOGIAS LTDA.</v>
          </cell>
          <cell r="I409">
            <v>575339</v>
          </cell>
          <cell r="J409">
            <v>1</v>
          </cell>
          <cell r="K409">
            <v>1</v>
          </cell>
          <cell r="L409">
            <v>237</v>
          </cell>
          <cell r="M409">
            <v>139.44</v>
          </cell>
          <cell r="N409">
            <v>0</v>
          </cell>
          <cell r="O409">
            <v>0</v>
          </cell>
          <cell r="P409">
            <v>4</v>
          </cell>
          <cell r="Q409">
            <v>280416</v>
          </cell>
        </row>
        <row r="410">
          <cell r="A410">
            <v>409</v>
          </cell>
          <cell r="B410" t="str">
            <v>Pg</v>
          </cell>
          <cell r="C410">
            <v>1</v>
          </cell>
          <cell r="D410">
            <v>270416</v>
          </cell>
          <cell r="E410">
            <v>280416</v>
          </cell>
          <cell r="F410" t="str">
            <v>For</v>
          </cell>
          <cell r="G410">
            <v>2334</v>
          </cell>
          <cell r="H410" t="str">
            <v>EUNICE AFONSO PACHECO</v>
          </cell>
          <cell r="I410">
            <v>102</v>
          </cell>
          <cell r="J410">
            <v>1</v>
          </cell>
          <cell r="K410">
            <v>1</v>
          </cell>
          <cell r="L410">
            <v>341</v>
          </cell>
          <cell r="M410">
            <v>605</v>
          </cell>
          <cell r="N410">
            <v>0</v>
          </cell>
          <cell r="O410">
            <v>0</v>
          </cell>
          <cell r="P410">
            <v>14</v>
          </cell>
          <cell r="Q410">
            <v>280416</v>
          </cell>
        </row>
        <row r="411">
          <cell r="A411">
            <v>410</v>
          </cell>
          <cell r="B411" t="str">
            <v>Pg</v>
          </cell>
          <cell r="C411">
            <v>6</v>
          </cell>
          <cell r="D411">
            <v>270116</v>
          </cell>
          <cell r="E411">
            <v>290416</v>
          </cell>
          <cell r="F411" t="str">
            <v>For</v>
          </cell>
          <cell r="G411">
            <v>2819</v>
          </cell>
          <cell r="H411" t="str">
            <v>FORT SOLUTIONS COM IMP EXP LTDA</v>
          </cell>
          <cell r="I411">
            <v>11632</v>
          </cell>
          <cell r="J411">
            <v>3</v>
          </cell>
          <cell r="K411">
            <v>4</v>
          </cell>
          <cell r="L411">
            <v>341</v>
          </cell>
          <cell r="M411">
            <v>19028.72</v>
          </cell>
          <cell r="N411">
            <v>0</v>
          </cell>
          <cell r="O411">
            <v>0</v>
          </cell>
          <cell r="P411">
            <v>4</v>
          </cell>
          <cell r="Q411">
            <v>290416</v>
          </cell>
        </row>
        <row r="412">
          <cell r="A412">
            <v>411</v>
          </cell>
          <cell r="B412" t="str">
            <v>Pg</v>
          </cell>
          <cell r="C412">
            <v>6</v>
          </cell>
          <cell r="D412">
            <v>80316</v>
          </cell>
          <cell r="E412">
            <v>290416</v>
          </cell>
          <cell r="F412" t="str">
            <v>For</v>
          </cell>
          <cell r="G412">
            <v>1518</v>
          </cell>
          <cell r="H412" t="str">
            <v>PRIMAFER INDUSTRIAL S.A.</v>
          </cell>
          <cell r="I412">
            <v>99812</v>
          </cell>
          <cell r="J412">
            <v>1</v>
          </cell>
          <cell r="K412">
            <v>1</v>
          </cell>
          <cell r="L412">
            <v>341</v>
          </cell>
          <cell r="M412">
            <v>48772.2</v>
          </cell>
          <cell r="N412">
            <v>0</v>
          </cell>
          <cell r="O412">
            <v>0</v>
          </cell>
          <cell r="P412">
            <v>4</v>
          </cell>
          <cell r="Q412">
            <v>290416</v>
          </cell>
        </row>
        <row r="413">
          <cell r="A413">
            <v>412</v>
          </cell>
          <cell r="B413" t="str">
            <v>Pg</v>
          </cell>
          <cell r="C413">
            <v>6</v>
          </cell>
          <cell r="D413">
            <v>90316</v>
          </cell>
          <cell r="E413">
            <v>290416</v>
          </cell>
          <cell r="F413" t="str">
            <v>For</v>
          </cell>
          <cell r="G413">
            <v>2807</v>
          </cell>
          <cell r="H413" t="str">
            <v>COMERCIAL FARTEX - IMP. E EXP. DE ARTIGOS P/ PRES. LTDA</v>
          </cell>
          <cell r="I413">
            <v>4943</v>
          </cell>
          <cell r="J413">
            <v>3</v>
          </cell>
          <cell r="K413">
            <v>4</v>
          </cell>
          <cell r="L413">
            <v>341</v>
          </cell>
          <cell r="M413">
            <v>3588</v>
          </cell>
          <cell r="N413">
            <v>0</v>
          </cell>
          <cell r="O413">
            <v>0</v>
          </cell>
          <cell r="P413">
            <v>4</v>
          </cell>
          <cell r="Q413">
            <v>290416</v>
          </cell>
        </row>
        <row r="414">
          <cell r="A414">
            <v>413</v>
          </cell>
          <cell r="B414" t="str">
            <v>Pg</v>
          </cell>
          <cell r="C414">
            <v>6</v>
          </cell>
          <cell r="D414">
            <v>280316</v>
          </cell>
          <cell r="E414">
            <v>290416</v>
          </cell>
          <cell r="F414" t="str">
            <v>For</v>
          </cell>
          <cell r="G414">
            <v>2176</v>
          </cell>
          <cell r="H414" t="str">
            <v>ATB INDUSTRIA E COMERCIO DE ADESIVOS LTDA</v>
          </cell>
          <cell r="I414">
            <v>127386</v>
          </cell>
          <cell r="J414">
            <v>2</v>
          </cell>
          <cell r="K414">
            <v>2</v>
          </cell>
          <cell r="L414">
            <v>341</v>
          </cell>
          <cell r="M414">
            <v>5265.6</v>
          </cell>
          <cell r="N414">
            <v>0</v>
          </cell>
          <cell r="O414">
            <v>0</v>
          </cell>
          <cell r="P414">
            <v>4</v>
          </cell>
          <cell r="Q414">
            <v>290416</v>
          </cell>
        </row>
        <row r="415">
          <cell r="A415">
            <v>414</v>
          </cell>
          <cell r="B415" t="str">
            <v>Pg</v>
          </cell>
          <cell r="C415">
            <v>6</v>
          </cell>
          <cell r="D415">
            <v>110416</v>
          </cell>
          <cell r="E415">
            <v>290416</v>
          </cell>
          <cell r="F415" t="str">
            <v>For</v>
          </cell>
          <cell r="G415">
            <v>2958</v>
          </cell>
          <cell r="H415" t="str">
            <v>JAGUAR INDUSTRIA E COMERCIO DE PLASTICOS LTDA</v>
          </cell>
          <cell r="I415">
            <v>9942</v>
          </cell>
          <cell r="J415">
            <v>1</v>
          </cell>
          <cell r="K415">
            <v>1</v>
          </cell>
          <cell r="L415">
            <v>341</v>
          </cell>
          <cell r="M415">
            <v>11445.72</v>
          </cell>
          <cell r="N415">
            <v>0</v>
          </cell>
          <cell r="O415">
            <v>0</v>
          </cell>
          <cell r="P415">
            <v>4</v>
          </cell>
          <cell r="Q415">
            <v>290416</v>
          </cell>
        </row>
        <row r="416">
          <cell r="A416">
            <v>415</v>
          </cell>
          <cell r="B416" t="str">
            <v>Pg</v>
          </cell>
          <cell r="C416">
            <v>6</v>
          </cell>
          <cell r="D416">
            <v>110416</v>
          </cell>
          <cell r="E416">
            <v>290416</v>
          </cell>
          <cell r="F416" t="str">
            <v>For</v>
          </cell>
          <cell r="G416">
            <v>2958</v>
          </cell>
          <cell r="H416" t="str">
            <v>JAGUAR INDUSTRIA E COMERCIO DE PLASTICOS LTDA</v>
          </cell>
          <cell r="I416">
            <v>9941</v>
          </cell>
          <cell r="J416">
            <v>1</v>
          </cell>
          <cell r="K416">
            <v>1</v>
          </cell>
          <cell r="L416">
            <v>341</v>
          </cell>
          <cell r="M416">
            <v>4289.53</v>
          </cell>
          <cell r="N416">
            <v>0</v>
          </cell>
          <cell r="O416">
            <v>0</v>
          </cell>
          <cell r="P416">
            <v>4</v>
          </cell>
          <cell r="Q416">
            <v>290416</v>
          </cell>
        </row>
        <row r="417">
          <cell r="A417">
            <v>416</v>
          </cell>
          <cell r="B417" t="str">
            <v>Pg</v>
          </cell>
          <cell r="C417">
            <v>6</v>
          </cell>
          <cell r="D417">
            <v>110416</v>
          </cell>
          <cell r="E417">
            <v>290416</v>
          </cell>
          <cell r="F417" t="str">
            <v>For</v>
          </cell>
          <cell r="G417">
            <v>2958</v>
          </cell>
          <cell r="H417" t="str">
            <v>JAGUAR INDUSTRIA E COMERCIO DE PLASTICOS LTDA</v>
          </cell>
          <cell r="I417">
            <v>9940</v>
          </cell>
          <cell r="J417">
            <v>1</v>
          </cell>
          <cell r="K417">
            <v>1</v>
          </cell>
          <cell r="L417">
            <v>341</v>
          </cell>
          <cell r="M417">
            <v>36687.300000000003</v>
          </cell>
          <cell r="N417">
            <v>-2400.65</v>
          </cell>
          <cell r="O417">
            <v>0</v>
          </cell>
          <cell r="P417">
            <v>4</v>
          </cell>
          <cell r="Q417">
            <v>290416</v>
          </cell>
        </row>
        <row r="418">
          <cell r="A418">
            <v>417</v>
          </cell>
          <cell r="B418" t="str">
            <v>Pg</v>
          </cell>
          <cell r="C418">
            <v>6</v>
          </cell>
          <cell r="D418">
            <v>120416</v>
          </cell>
          <cell r="E418">
            <v>290416</v>
          </cell>
          <cell r="F418" t="str">
            <v>For</v>
          </cell>
          <cell r="G418">
            <v>1005</v>
          </cell>
          <cell r="H418" t="str">
            <v>IND DE PROD ALIM CORY LDTA</v>
          </cell>
          <cell r="I418">
            <v>50773</v>
          </cell>
          <cell r="J418">
            <v>1</v>
          </cell>
          <cell r="K418">
            <v>1</v>
          </cell>
          <cell r="L418">
            <v>341</v>
          </cell>
          <cell r="M418">
            <v>805.85</v>
          </cell>
          <cell r="N418">
            <v>0</v>
          </cell>
          <cell r="O418">
            <v>0</v>
          </cell>
          <cell r="P418">
            <v>4</v>
          </cell>
          <cell r="Q418">
            <v>290416</v>
          </cell>
        </row>
        <row r="419">
          <cell r="A419">
            <v>418</v>
          </cell>
          <cell r="B419" t="str">
            <v>Pg</v>
          </cell>
          <cell r="C419">
            <v>6</v>
          </cell>
          <cell r="D419">
            <v>150416</v>
          </cell>
          <cell r="E419">
            <v>290416</v>
          </cell>
          <cell r="F419" t="str">
            <v>For</v>
          </cell>
          <cell r="G419">
            <v>273</v>
          </cell>
          <cell r="H419" t="str">
            <v>MOAS IND. E COM. IMP E EXP LTDA</v>
          </cell>
          <cell r="I419">
            <v>125352</v>
          </cell>
          <cell r="J419">
            <v>1</v>
          </cell>
          <cell r="K419">
            <v>1</v>
          </cell>
          <cell r="L419">
            <v>341</v>
          </cell>
          <cell r="M419">
            <v>11933.34</v>
          </cell>
          <cell r="N419">
            <v>0</v>
          </cell>
          <cell r="O419">
            <v>0</v>
          </cell>
          <cell r="P419">
            <v>4</v>
          </cell>
          <cell r="Q419">
            <v>290416</v>
          </cell>
        </row>
        <row r="420">
          <cell r="A420">
            <v>419</v>
          </cell>
          <cell r="B420" t="str">
            <v>Pg</v>
          </cell>
          <cell r="C420">
            <v>8</v>
          </cell>
          <cell r="D420">
            <v>180416</v>
          </cell>
          <cell r="E420">
            <v>290416</v>
          </cell>
          <cell r="F420" t="str">
            <v>For</v>
          </cell>
          <cell r="G420">
            <v>959</v>
          </cell>
          <cell r="H420" t="str">
            <v>PLASTICOS DESCARTAVEIS IND COM LTDA</v>
          </cell>
          <cell r="I420">
            <v>28370</v>
          </cell>
          <cell r="J420">
            <v>1</v>
          </cell>
          <cell r="K420">
            <v>1</v>
          </cell>
          <cell r="L420">
            <v>341</v>
          </cell>
          <cell r="M420">
            <v>1243.69</v>
          </cell>
          <cell r="N420">
            <v>0</v>
          </cell>
          <cell r="O420">
            <v>0</v>
          </cell>
          <cell r="P420">
            <v>4</v>
          </cell>
          <cell r="Q420">
            <v>290416</v>
          </cell>
        </row>
        <row r="421">
          <cell r="A421">
            <v>420</v>
          </cell>
          <cell r="B421" t="str">
            <v>Pg</v>
          </cell>
          <cell r="C421">
            <v>3</v>
          </cell>
          <cell r="D421">
            <v>180416</v>
          </cell>
          <cell r="E421">
            <v>290416</v>
          </cell>
          <cell r="F421" t="str">
            <v>For</v>
          </cell>
          <cell r="G421">
            <v>959</v>
          </cell>
          <cell r="H421" t="str">
            <v>PLASTICOS DESCARTAVEIS IND COM LTDA</v>
          </cell>
          <cell r="I421">
            <v>28372</v>
          </cell>
          <cell r="J421">
            <v>1</v>
          </cell>
          <cell r="K421">
            <v>1</v>
          </cell>
          <cell r="L421">
            <v>341</v>
          </cell>
          <cell r="M421">
            <v>1788.84</v>
          </cell>
          <cell r="N421">
            <v>0</v>
          </cell>
          <cell r="O421">
            <v>0</v>
          </cell>
          <cell r="P421">
            <v>4</v>
          </cell>
          <cell r="Q421">
            <v>290416</v>
          </cell>
        </row>
        <row r="422">
          <cell r="A422">
            <v>421</v>
          </cell>
          <cell r="B422" t="str">
            <v>Pg</v>
          </cell>
          <cell r="C422">
            <v>1</v>
          </cell>
          <cell r="D422">
            <v>180416</v>
          </cell>
          <cell r="E422">
            <v>290416</v>
          </cell>
          <cell r="F422" t="str">
            <v>For</v>
          </cell>
          <cell r="G422">
            <v>959</v>
          </cell>
          <cell r="H422" t="str">
            <v>PLASTICOS DESCARTAVEIS IND COM LTDA</v>
          </cell>
          <cell r="I422">
            <v>28371</v>
          </cell>
          <cell r="J422">
            <v>1</v>
          </cell>
          <cell r="K422">
            <v>1</v>
          </cell>
          <cell r="L422">
            <v>341</v>
          </cell>
          <cell r="M422">
            <v>1610.85</v>
          </cell>
          <cell r="N422">
            <v>0</v>
          </cell>
          <cell r="O422">
            <v>0</v>
          </cell>
          <cell r="P422">
            <v>4</v>
          </cell>
          <cell r="Q422">
            <v>290416</v>
          </cell>
        </row>
        <row r="423">
          <cell r="A423">
            <v>422</v>
          </cell>
          <cell r="B423" t="str">
            <v>Pg</v>
          </cell>
          <cell r="C423">
            <v>6</v>
          </cell>
          <cell r="D423">
            <v>190416</v>
          </cell>
          <cell r="E423">
            <v>290416</v>
          </cell>
          <cell r="F423" t="str">
            <v>For</v>
          </cell>
          <cell r="G423">
            <v>1016</v>
          </cell>
          <cell r="H423" t="str">
            <v>IND E COM DE UTIL. DOM. INJETEMP LTDA</v>
          </cell>
          <cell r="I423">
            <v>27094</v>
          </cell>
          <cell r="J423">
            <v>1</v>
          </cell>
          <cell r="K423">
            <v>1</v>
          </cell>
          <cell r="L423">
            <v>341</v>
          </cell>
          <cell r="M423">
            <v>1595.29</v>
          </cell>
          <cell r="N423">
            <v>0</v>
          </cell>
          <cell r="O423">
            <v>0</v>
          </cell>
          <cell r="P423">
            <v>4</v>
          </cell>
          <cell r="Q423">
            <v>290416</v>
          </cell>
        </row>
        <row r="424">
          <cell r="A424">
            <v>423</v>
          </cell>
          <cell r="B424" t="str">
            <v>Pg</v>
          </cell>
          <cell r="C424">
            <v>6</v>
          </cell>
          <cell r="D424">
            <v>200416</v>
          </cell>
          <cell r="E424">
            <v>290416</v>
          </cell>
          <cell r="F424" t="str">
            <v>For</v>
          </cell>
          <cell r="G424">
            <v>1533</v>
          </cell>
          <cell r="H424" t="str">
            <v>TRAMONTINA S/A CUTELARIA</v>
          </cell>
          <cell r="I424">
            <v>331273</v>
          </cell>
          <cell r="J424">
            <v>1</v>
          </cell>
          <cell r="K424">
            <v>1</v>
          </cell>
          <cell r="L424">
            <v>341</v>
          </cell>
          <cell r="M424">
            <v>7348.35</v>
          </cell>
          <cell r="N424">
            <v>0</v>
          </cell>
          <cell r="O424">
            <v>0</v>
          </cell>
          <cell r="P424">
            <v>4</v>
          </cell>
          <cell r="Q424">
            <v>290416</v>
          </cell>
        </row>
        <row r="425">
          <cell r="A425">
            <v>424</v>
          </cell>
          <cell r="B425" t="str">
            <v>Pg</v>
          </cell>
          <cell r="C425">
            <v>6</v>
          </cell>
          <cell r="D425">
            <v>220416</v>
          </cell>
          <cell r="E425">
            <v>290416</v>
          </cell>
          <cell r="F425" t="str">
            <v>For</v>
          </cell>
          <cell r="G425">
            <v>174</v>
          </cell>
          <cell r="H425" t="str">
            <v>TRANSREDE EMPR BRAS CONFEC COM. DISTR. EIRELLI EPP</v>
          </cell>
          <cell r="I425">
            <v>10049</v>
          </cell>
          <cell r="J425">
            <v>1</v>
          </cell>
          <cell r="K425">
            <v>1</v>
          </cell>
          <cell r="L425">
            <v>341</v>
          </cell>
          <cell r="M425">
            <v>9821.25</v>
          </cell>
          <cell r="N425">
            <v>0</v>
          </cell>
          <cell r="O425">
            <v>0</v>
          </cell>
          <cell r="P425">
            <v>4</v>
          </cell>
          <cell r="Q425">
            <v>290416</v>
          </cell>
        </row>
        <row r="426">
          <cell r="A426">
            <v>425</v>
          </cell>
          <cell r="B426" t="str">
            <v>Pg</v>
          </cell>
          <cell r="C426">
            <v>6</v>
          </cell>
          <cell r="D426">
            <v>220416</v>
          </cell>
          <cell r="E426">
            <v>290416</v>
          </cell>
          <cell r="F426" t="str">
            <v>For</v>
          </cell>
          <cell r="G426">
            <v>1693</v>
          </cell>
          <cell r="H426" t="str">
            <v>NIQUELPLAST IND COM  ART  PLAST ARAM  LTDA</v>
          </cell>
          <cell r="I426">
            <v>39764</v>
          </cell>
          <cell r="J426">
            <v>1</v>
          </cell>
          <cell r="K426">
            <v>1</v>
          </cell>
          <cell r="L426">
            <v>341</v>
          </cell>
          <cell r="M426">
            <v>47163.8</v>
          </cell>
          <cell r="N426">
            <v>0</v>
          </cell>
          <cell r="O426">
            <v>0</v>
          </cell>
          <cell r="P426">
            <v>4</v>
          </cell>
          <cell r="Q426">
            <v>290416</v>
          </cell>
        </row>
        <row r="427">
          <cell r="A427">
            <v>426</v>
          </cell>
          <cell r="B427" t="str">
            <v>Pg</v>
          </cell>
          <cell r="C427">
            <v>6</v>
          </cell>
          <cell r="D427">
            <v>250416</v>
          </cell>
          <cell r="E427">
            <v>290416</v>
          </cell>
          <cell r="F427" t="str">
            <v>For</v>
          </cell>
          <cell r="G427">
            <v>1946</v>
          </cell>
          <cell r="H427" t="str">
            <v>SIEGER COM. IMPORTACAO EXPORTACAO DE MANUF. LTDA</v>
          </cell>
          <cell r="I427">
            <v>21928</v>
          </cell>
          <cell r="J427">
            <v>2</v>
          </cell>
          <cell r="K427">
            <v>2</v>
          </cell>
          <cell r="L427">
            <v>341</v>
          </cell>
          <cell r="M427">
            <v>4262.8599999999997</v>
          </cell>
          <cell r="N427">
            <v>0</v>
          </cell>
          <cell r="O427">
            <v>0</v>
          </cell>
          <cell r="P427">
            <v>4</v>
          </cell>
          <cell r="Q427">
            <v>290416</v>
          </cell>
        </row>
        <row r="428">
          <cell r="A428">
            <v>427</v>
          </cell>
          <cell r="B428" t="str">
            <v>Pg</v>
          </cell>
          <cell r="C428">
            <v>3</v>
          </cell>
          <cell r="D428">
            <v>250416</v>
          </cell>
          <cell r="E428">
            <v>290416</v>
          </cell>
          <cell r="F428" t="str">
            <v>For</v>
          </cell>
          <cell r="G428">
            <v>1707</v>
          </cell>
          <cell r="H428" t="str">
            <v>DYSCAMP COMERCIO DE COSMETICOS LTDA ME</v>
          </cell>
          <cell r="I428">
            <v>31014</v>
          </cell>
          <cell r="J428">
            <v>1</v>
          </cell>
          <cell r="K428">
            <v>1</v>
          </cell>
          <cell r="L428">
            <v>341</v>
          </cell>
          <cell r="M428">
            <v>718.2</v>
          </cell>
          <cell r="N428">
            <v>0</v>
          </cell>
          <cell r="O428">
            <v>0</v>
          </cell>
          <cell r="P428">
            <v>4</v>
          </cell>
          <cell r="Q428">
            <v>290416</v>
          </cell>
        </row>
        <row r="429">
          <cell r="A429">
            <v>428</v>
          </cell>
          <cell r="B429" t="str">
            <v>Pg</v>
          </cell>
          <cell r="C429">
            <v>6</v>
          </cell>
          <cell r="D429">
            <v>220316</v>
          </cell>
          <cell r="E429">
            <v>10516</v>
          </cell>
          <cell r="F429" t="str">
            <v>For</v>
          </cell>
          <cell r="G429">
            <v>2358</v>
          </cell>
          <cell r="H429" t="str">
            <v>GALA - IBB IND. BRAS. DE BRINQ. E EMB. LTDA</v>
          </cell>
          <cell r="I429">
            <v>46272</v>
          </cell>
          <cell r="J429">
            <v>1</v>
          </cell>
          <cell r="K429">
            <v>2</v>
          </cell>
          <cell r="L429">
            <v>999</v>
          </cell>
          <cell r="M429">
            <v>5888.43</v>
          </cell>
          <cell r="N429">
            <v>0</v>
          </cell>
          <cell r="O429">
            <v>0</v>
          </cell>
          <cell r="P429">
            <v>4</v>
          </cell>
          <cell r="Q429">
            <v>290416</v>
          </cell>
        </row>
        <row r="430">
          <cell r="A430">
            <v>429</v>
          </cell>
          <cell r="B430" t="str">
            <v>Pg</v>
          </cell>
          <cell r="C430">
            <v>6</v>
          </cell>
          <cell r="D430">
            <v>30516</v>
          </cell>
          <cell r="E430">
            <v>50516</v>
          </cell>
          <cell r="F430" t="str">
            <v>For</v>
          </cell>
          <cell r="G430">
            <v>2822</v>
          </cell>
          <cell r="H430" t="str">
            <v>JOAO LUIS RIBEIRO PEREIRA JUNIOR 39106787851</v>
          </cell>
          <cell r="I430">
            <v>8</v>
          </cell>
          <cell r="J430">
            <v>1</v>
          </cell>
          <cell r="K430">
            <v>1</v>
          </cell>
          <cell r="L430">
            <v>341</v>
          </cell>
          <cell r="M430">
            <v>11116</v>
          </cell>
          <cell r="N430">
            <v>0</v>
          </cell>
          <cell r="O430">
            <v>0</v>
          </cell>
          <cell r="P430">
            <v>14</v>
          </cell>
          <cell r="Q430">
            <v>220416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aça do boteco"/>
      <sheetName val="centerlar"/>
      <sheetName val="CENTERLAR_BANCO_14"/>
      <sheetName val="praça do boteco2"/>
    </sheetNames>
    <sheetDataSet>
      <sheetData sheetId="0"/>
      <sheetData sheetId="1">
        <row r="1">
          <cell r="A1" t="str">
            <v>CDB</v>
          </cell>
          <cell r="B1" t="str">
            <v>débito</v>
          </cell>
          <cell r="C1" t="str">
            <v>crédito</v>
          </cell>
          <cell r="D1" t="str">
            <v>historico</v>
          </cell>
        </row>
        <row r="2">
          <cell r="A2">
            <v>1</v>
          </cell>
          <cell r="B2">
            <v>520</v>
          </cell>
          <cell r="C2">
            <v>14</v>
          </cell>
          <cell r="D2">
            <v>136</v>
          </cell>
        </row>
        <row r="3">
          <cell r="A3">
            <v>3</v>
          </cell>
          <cell r="B3">
            <v>524</v>
          </cell>
          <cell r="C3">
            <v>14</v>
          </cell>
          <cell r="D3">
            <v>136</v>
          </cell>
        </row>
        <row r="4">
          <cell r="A4">
            <v>5</v>
          </cell>
          <cell r="B4">
            <v>525</v>
          </cell>
          <cell r="C4">
            <v>14</v>
          </cell>
          <cell r="D4">
            <v>136</v>
          </cell>
        </row>
        <row r="5">
          <cell r="A5">
            <v>6</v>
          </cell>
          <cell r="B5">
            <v>526</v>
          </cell>
          <cell r="C5">
            <v>14</v>
          </cell>
          <cell r="D5">
            <v>136</v>
          </cell>
        </row>
        <row r="6">
          <cell r="A6">
            <v>7</v>
          </cell>
          <cell r="B6">
            <v>527</v>
          </cell>
          <cell r="C6">
            <v>14</v>
          </cell>
          <cell r="D6">
            <v>136</v>
          </cell>
        </row>
        <row r="7">
          <cell r="A7">
            <v>8</v>
          </cell>
          <cell r="B7">
            <v>528</v>
          </cell>
          <cell r="C7">
            <v>14</v>
          </cell>
          <cell r="D7">
            <v>136</v>
          </cell>
        </row>
        <row r="8">
          <cell r="A8">
            <v>9</v>
          </cell>
          <cell r="B8">
            <v>529</v>
          </cell>
          <cell r="C8">
            <v>14</v>
          </cell>
          <cell r="D8">
            <v>136</v>
          </cell>
        </row>
        <row r="9">
          <cell r="A9">
            <v>10</v>
          </cell>
          <cell r="B9">
            <v>530</v>
          </cell>
          <cell r="C9">
            <v>14</v>
          </cell>
          <cell r="D9">
            <v>136</v>
          </cell>
        </row>
        <row r="10">
          <cell r="A10">
            <v>11</v>
          </cell>
          <cell r="B10">
            <v>14</v>
          </cell>
          <cell r="C10">
            <v>48</v>
          </cell>
          <cell r="D10">
            <v>328</v>
          </cell>
        </row>
        <row r="11">
          <cell r="A11">
            <v>12</v>
          </cell>
          <cell r="B11">
            <v>14</v>
          </cell>
          <cell r="C11">
            <v>50</v>
          </cell>
          <cell r="D11">
            <v>328</v>
          </cell>
        </row>
        <row r="12">
          <cell r="A12">
            <v>13</v>
          </cell>
          <cell r="B12">
            <v>14</v>
          </cell>
          <cell r="C12">
            <v>52</v>
          </cell>
          <cell r="D12">
            <v>328</v>
          </cell>
        </row>
        <row r="13">
          <cell r="A13">
            <v>14</v>
          </cell>
          <cell r="B13">
            <v>14</v>
          </cell>
          <cell r="C13">
            <v>57</v>
          </cell>
          <cell r="D13">
            <v>328</v>
          </cell>
        </row>
        <row r="14">
          <cell r="A14">
            <v>15</v>
          </cell>
          <cell r="B14">
            <v>14</v>
          </cell>
          <cell r="C14">
            <v>58</v>
          </cell>
          <cell r="D14">
            <v>328</v>
          </cell>
        </row>
        <row r="15">
          <cell r="A15">
            <v>16</v>
          </cell>
          <cell r="B15">
            <v>14</v>
          </cell>
          <cell r="C15">
            <v>59</v>
          </cell>
          <cell r="D15">
            <v>328</v>
          </cell>
        </row>
        <row r="16">
          <cell r="A16">
            <v>20</v>
          </cell>
          <cell r="B16">
            <v>14</v>
          </cell>
          <cell r="C16">
            <v>29</v>
          </cell>
          <cell r="D16">
            <v>333</v>
          </cell>
        </row>
        <row r="17">
          <cell r="A17">
            <v>30</v>
          </cell>
          <cell r="B17">
            <v>1778</v>
          </cell>
          <cell r="C17">
            <v>29</v>
          </cell>
          <cell r="D17">
            <v>305</v>
          </cell>
        </row>
        <row r="18">
          <cell r="A18">
            <v>40</v>
          </cell>
          <cell r="B18">
            <v>1782</v>
          </cell>
          <cell r="C18">
            <v>29</v>
          </cell>
          <cell r="D18">
            <v>342</v>
          </cell>
        </row>
        <row r="19">
          <cell r="A19">
            <v>41</v>
          </cell>
          <cell r="B19">
            <v>520</v>
          </cell>
          <cell r="C19">
            <v>1227</v>
          </cell>
          <cell r="D19">
            <v>1500</v>
          </cell>
        </row>
        <row r="20">
          <cell r="A20">
            <v>42</v>
          </cell>
        </row>
      </sheetData>
      <sheetData sheetId="2">
        <row r="1">
          <cell r="A1">
            <v>1</v>
          </cell>
          <cell r="B1" t="str">
            <v>X</v>
          </cell>
          <cell r="C1" t="str">
            <v>Y</v>
          </cell>
          <cell r="D1">
            <v>114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1">
          <cell r="A1" t="str">
            <v>Nº</v>
          </cell>
          <cell r="B1" t="str">
            <v>DEBITO</v>
          </cell>
          <cell r="C1" t="str">
            <v>CREDITO</v>
          </cell>
          <cell r="D1" t="str">
            <v>HISTORICO</v>
          </cell>
          <cell r="E1" t="str">
            <v>COMPLEMENTO</v>
          </cell>
        </row>
        <row r="2">
          <cell r="A2">
            <v>1</v>
          </cell>
          <cell r="B2">
            <v>520</v>
          </cell>
          <cell r="C2">
            <v>4</v>
          </cell>
          <cell r="D2">
            <v>252</v>
          </cell>
          <cell r="E2" t="str">
            <v>PAGAMENTO REF NOTA FISCAL</v>
          </cell>
        </row>
        <row r="3">
          <cell r="A3">
            <v>2</v>
          </cell>
          <cell r="B3">
            <v>520</v>
          </cell>
          <cell r="C3">
            <v>5</v>
          </cell>
          <cell r="D3">
            <v>252</v>
          </cell>
          <cell r="E3" t="str">
            <v>PAGAMENTO REF NOTA FISCAL</v>
          </cell>
        </row>
        <row r="4">
          <cell r="A4">
            <v>3</v>
          </cell>
          <cell r="B4">
            <v>520</v>
          </cell>
          <cell r="C4">
            <v>7</v>
          </cell>
          <cell r="D4">
            <v>252</v>
          </cell>
          <cell r="E4" t="str">
            <v>PAGAMENTO REF NOTA FISCAL</v>
          </cell>
        </row>
        <row r="5">
          <cell r="A5">
            <v>4</v>
          </cell>
          <cell r="B5">
            <v>520</v>
          </cell>
          <cell r="C5">
            <v>8</v>
          </cell>
          <cell r="D5">
            <v>252</v>
          </cell>
          <cell r="E5" t="str">
            <v>PAGAMENTO REF NOTA FISCAL</v>
          </cell>
        </row>
        <row r="6">
          <cell r="A6">
            <v>5</v>
          </cell>
          <cell r="B6">
            <v>520</v>
          </cell>
          <cell r="C6">
            <v>10</v>
          </cell>
          <cell r="D6">
            <v>252</v>
          </cell>
          <cell r="E6" t="str">
            <v>PAGAMENTO REF NOTA FISCAL</v>
          </cell>
        </row>
        <row r="7">
          <cell r="A7">
            <v>6</v>
          </cell>
          <cell r="B7">
            <v>520</v>
          </cell>
          <cell r="C7">
            <v>12</v>
          </cell>
          <cell r="D7">
            <v>252</v>
          </cell>
          <cell r="E7" t="str">
            <v>PAGAMENTO REF NOTA FISCAL</v>
          </cell>
        </row>
        <row r="8">
          <cell r="A8">
            <v>7</v>
          </cell>
          <cell r="B8">
            <v>520</v>
          </cell>
          <cell r="C8">
            <v>14</v>
          </cell>
          <cell r="D8">
            <v>252</v>
          </cell>
          <cell r="E8" t="str">
            <v>PAGAMENTO REF NOTA FISCAL</v>
          </cell>
        </row>
        <row r="9">
          <cell r="A9">
            <v>8</v>
          </cell>
          <cell r="B9">
            <v>520</v>
          </cell>
          <cell r="C9">
            <v>6</v>
          </cell>
          <cell r="D9">
            <v>252</v>
          </cell>
          <cell r="E9" t="str">
            <v>PAGAMENTO REF NOTA FISCAL</v>
          </cell>
        </row>
        <row r="10">
          <cell r="A10">
            <v>9</v>
          </cell>
          <cell r="B10">
            <v>48</v>
          </cell>
          <cell r="C10">
            <v>4</v>
          </cell>
          <cell r="D10">
            <v>328</v>
          </cell>
          <cell r="E10" t="str">
            <v>RECEBIMENTO DE CLIENTE</v>
          </cell>
        </row>
        <row r="11">
          <cell r="A11">
            <v>10</v>
          </cell>
          <cell r="B11">
            <v>48</v>
          </cell>
          <cell r="C11">
            <v>5</v>
          </cell>
          <cell r="D11">
            <v>328</v>
          </cell>
          <cell r="E11" t="str">
            <v>RECEBIMENTO DE CLIENTE</v>
          </cell>
        </row>
        <row r="12">
          <cell r="A12">
            <v>11</v>
          </cell>
          <cell r="B12">
            <v>48</v>
          </cell>
          <cell r="C12">
            <v>7</v>
          </cell>
          <cell r="D12">
            <v>328</v>
          </cell>
          <cell r="E12" t="str">
            <v>RECEBIMENTO DE CLIENTE</v>
          </cell>
        </row>
        <row r="13">
          <cell r="A13">
            <v>12</v>
          </cell>
          <cell r="B13">
            <v>48</v>
          </cell>
          <cell r="C13">
            <v>8</v>
          </cell>
          <cell r="D13">
            <v>328</v>
          </cell>
          <cell r="E13" t="str">
            <v>RECEBIMENTO DE CLIENTE</v>
          </cell>
        </row>
        <row r="14">
          <cell r="A14">
            <v>13</v>
          </cell>
          <cell r="B14">
            <v>48</v>
          </cell>
          <cell r="C14">
            <v>10</v>
          </cell>
          <cell r="D14">
            <v>328</v>
          </cell>
          <cell r="E14" t="str">
            <v>RECEBIMENTO DE CLIENTE</v>
          </cell>
        </row>
        <row r="15">
          <cell r="A15">
            <v>14</v>
          </cell>
          <cell r="B15">
            <v>48</v>
          </cell>
          <cell r="C15">
            <v>12</v>
          </cell>
          <cell r="D15">
            <v>328</v>
          </cell>
          <cell r="E15" t="str">
            <v>RECEBIMENTO DE CLIENTE</v>
          </cell>
        </row>
        <row r="16">
          <cell r="A16">
            <v>15</v>
          </cell>
          <cell r="B16">
            <v>48</v>
          </cell>
          <cell r="C16">
            <v>14</v>
          </cell>
          <cell r="D16">
            <v>328</v>
          </cell>
          <cell r="E16" t="str">
            <v>RECEBIMENTO DE CLIENTE</v>
          </cell>
        </row>
        <row r="17">
          <cell r="A17">
            <v>16</v>
          </cell>
          <cell r="B17">
            <v>48</v>
          </cell>
          <cell r="C17">
            <v>6</v>
          </cell>
          <cell r="D17">
            <v>328</v>
          </cell>
          <cell r="E17" t="str">
            <v>RECEBIMENTO DE CLIENTE</v>
          </cell>
        </row>
        <row r="18">
          <cell r="A18">
            <v>17</v>
          </cell>
          <cell r="B18">
            <v>1</v>
          </cell>
          <cell r="C18">
            <v>48</v>
          </cell>
          <cell r="D18">
            <v>328</v>
          </cell>
          <cell r="E18" t="str">
            <v>RECEBIMENTO DE CLIENTE</v>
          </cell>
        </row>
        <row r="19">
          <cell r="A19">
            <v>18</v>
          </cell>
          <cell r="B19">
            <v>1557</v>
          </cell>
          <cell r="D19">
            <v>252</v>
          </cell>
          <cell r="E19" t="str">
            <v>PGTO REF. SODEXO</v>
          </cell>
        </row>
        <row r="20">
          <cell r="A20">
            <v>19</v>
          </cell>
          <cell r="B20">
            <v>1778</v>
          </cell>
          <cell r="D20">
            <v>305</v>
          </cell>
          <cell r="E20" t="str">
            <v>DESPESAS C/ TARIFA BANCÁRIA</v>
          </cell>
        </row>
        <row r="21">
          <cell r="A21">
            <v>20</v>
          </cell>
          <cell r="B21">
            <v>1782</v>
          </cell>
          <cell r="D21">
            <v>343</v>
          </cell>
          <cell r="E21" t="str">
            <v>DEPESAS C/ IOF</v>
          </cell>
        </row>
        <row r="22">
          <cell r="A22">
            <v>21</v>
          </cell>
          <cell r="B22">
            <v>1634</v>
          </cell>
          <cell r="D22">
            <v>987</v>
          </cell>
          <cell r="E22" t="str">
            <v>PAGTO INTERNET</v>
          </cell>
        </row>
        <row r="23">
          <cell r="A23">
            <v>22</v>
          </cell>
          <cell r="B23">
            <v>881</v>
          </cell>
          <cell r="D23">
            <v>31</v>
          </cell>
          <cell r="E23" t="str">
            <v>PAGTO REF. FGTS</v>
          </cell>
        </row>
        <row r="24">
          <cell r="A24">
            <v>23</v>
          </cell>
          <cell r="B24">
            <v>1550</v>
          </cell>
          <cell r="D24">
            <v>252</v>
          </cell>
          <cell r="E24" t="str">
            <v>PAGTO TELEFONE</v>
          </cell>
        </row>
        <row r="25">
          <cell r="A25">
            <v>24</v>
          </cell>
          <cell r="B25">
            <v>1552</v>
          </cell>
          <cell r="D25">
            <v>252</v>
          </cell>
          <cell r="E25" t="str">
            <v>PAGTO CONTA DE AGUA</v>
          </cell>
        </row>
        <row r="26">
          <cell r="A26">
            <v>25</v>
          </cell>
          <cell r="B26">
            <v>1554</v>
          </cell>
          <cell r="D26">
            <v>252</v>
          </cell>
          <cell r="E26" t="str">
            <v>PAGTO CONTA DE LUZ</v>
          </cell>
        </row>
        <row r="27">
          <cell r="A27">
            <v>26</v>
          </cell>
          <cell r="B27">
            <v>1004</v>
          </cell>
          <cell r="D27">
            <v>1</v>
          </cell>
          <cell r="E27" t="str">
            <v>SERVS.DE</v>
          </cell>
        </row>
        <row r="28">
          <cell r="A28">
            <v>27</v>
          </cell>
          <cell r="D28">
            <v>2</v>
          </cell>
          <cell r="E28" t="str">
            <v>INSS RETIDO FUNC.CF.FOLHA</v>
          </cell>
        </row>
        <row r="29">
          <cell r="A29">
            <v>28</v>
          </cell>
          <cell r="D29">
            <v>3</v>
          </cell>
          <cell r="E29" t="str">
            <v>INSS DESC. S/13* SALARIO</v>
          </cell>
        </row>
        <row r="30">
          <cell r="A30">
            <v>29</v>
          </cell>
          <cell r="D30">
            <v>4</v>
          </cell>
          <cell r="E30" t="str">
            <v>INSS QUOTA DA EMPRESA CF. FOLHA</v>
          </cell>
        </row>
        <row r="31">
          <cell r="A31">
            <v>30</v>
          </cell>
          <cell r="D31">
            <v>5</v>
          </cell>
          <cell r="E31" t="str">
            <v>SAL.FAMILIA O/MES CF.FOLHA</v>
          </cell>
        </row>
        <row r="32">
          <cell r="A32">
            <v>31</v>
          </cell>
          <cell r="D32">
            <v>6</v>
          </cell>
          <cell r="E32" t="str">
            <v>IRRF S/TRAB.ASSAL. CF. FOLHA.</v>
          </cell>
        </row>
        <row r="33">
          <cell r="A33">
            <v>32</v>
          </cell>
          <cell r="D33">
            <v>7</v>
          </cell>
          <cell r="E33" t="str">
            <v>SALARIOS E ORDENADOS CF. FOLHA</v>
          </cell>
        </row>
        <row r="34">
          <cell r="A34">
            <v>33</v>
          </cell>
          <cell r="D34">
            <v>8</v>
          </cell>
          <cell r="E34" t="str">
            <v>IRRF DESC. S/PRO-LABORE CF.FOLHA</v>
          </cell>
        </row>
        <row r="35">
          <cell r="A35">
            <v>34</v>
          </cell>
          <cell r="D35">
            <v>9</v>
          </cell>
          <cell r="E35" t="str">
            <v>SALARIO MATERNIDADE CF. FOLHA</v>
          </cell>
        </row>
        <row r="36">
          <cell r="A36">
            <v>35</v>
          </cell>
          <cell r="D36">
            <v>10</v>
          </cell>
          <cell r="E36" t="str">
            <v>FERIAS CF. FOLHA</v>
          </cell>
        </row>
        <row r="37">
          <cell r="A37">
            <v>36</v>
          </cell>
          <cell r="D37">
            <v>11</v>
          </cell>
          <cell r="E37" t="str">
            <v>13* SALARIO CF. FOLHA</v>
          </cell>
        </row>
        <row r="38">
          <cell r="A38">
            <v>37</v>
          </cell>
          <cell r="D38">
            <v>12</v>
          </cell>
          <cell r="E38" t="str">
            <v>ABONO DE FERIAS CF. FOLHA</v>
          </cell>
        </row>
        <row r="39">
          <cell r="A39">
            <v>38</v>
          </cell>
          <cell r="D39">
            <v>13</v>
          </cell>
          <cell r="E39" t="str">
            <v>AVISO PREVIO CF. FOLHA</v>
          </cell>
        </row>
        <row r="40">
          <cell r="A40">
            <v>39</v>
          </cell>
          <cell r="D40">
            <v>14</v>
          </cell>
          <cell r="E40" t="str">
            <v>INDENIZ.TRABALHISTA CF. FOLHA</v>
          </cell>
        </row>
        <row r="41">
          <cell r="A41">
            <v>40</v>
          </cell>
          <cell r="D41">
            <v>15</v>
          </cell>
          <cell r="E41" t="str">
            <v>MENS. SINDICAL DESC. S/FOLHA</v>
          </cell>
        </row>
        <row r="42">
          <cell r="A42">
            <v>41</v>
          </cell>
          <cell r="D42">
            <v>16</v>
          </cell>
          <cell r="E42" t="str">
            <v>PAGTO MENS.SINDICAL REF.</v>
          </cell>
        </row>
        <row r="43">
          <cell r="A43">
            <v>42</v>
          </cell>
          <cell r="D43">
            <v>17</v>
          </cell>
          <cell r="E43" t="str">
            <v>TRANSF.REF. P PARCELA 13* SALARIO</v>
          </cell>
        </row>
        <row r="44">
          <cell r="A44">
            <v>43</v>
          </cell>
          <cell r="D44">
            <v>18</v>
          </cell>
          <cell r="E44" t="str">
            <v>PROV. FGTS CONF. FOLHA</v>
          </cell>
        </row>
        <row r="45">
          <cell r="A45">
            <v>44</v>
          </cell>
          <cell r="D45">
            <v>19</v>
          </cell>
          <cell r="E45" t="str">
            <v>FGTS S/13* SALARIO CF. FOLHA</v>
          </cell>
        </row>
        <row r="46">
          <cell r="A46">
            <v>45</v>
          </cell>
          <cell r="D46">
            <v>20</v>
          </cell>
          <cell r="E46" t="str">
            <v>CONTR. SIND. DESC. S/FOLHA</v>
          </cell>
        </row>
        <row r="47">
          <cell r="A47">
            <v>46</v>
          </cell>
          <cell r="D47">
            <v>21</v>
          </cell>
          <cell r="E47" t="str">
            <v>CONTR.ASSIST. DESC. C/FOLHA</v>
          </cell>
        </row>
        <row r="48">
          <cell r="A48">
            <v>47</v>
          </cell>
          <cell r="B48">
            <v>1556</v>
          </cell>
          <cell r="D48">
            <v>22</v>
          </cell>
          <cell r="E48" t="str">
            <v>DESC.VALE TRANSPORTE CF. FOLHA</v>
          </cell>
        </row>
        <row r="49">
          <cell r="A49">
            <v>48</v>
          </cell>
          <cell r="D49">
            <v>23</v>
          </cell>
          <cell r="E49" t="str">
            <v>PAGO ADIANTAMENTO DE SALARIO N/MES</v>
          </cell>
        </row>
        <row r="50">
          <cell r="A50">
            <v>49</v>
          </cell>
          <cell r="D50">
            <v>24</v>
          </cell>
          <cell r="E50" t="str">
            <v>ADIANT. DESCONTADO CF. FOLHA</v>
          </cell>
        </row>
        <row r="51">
          <cell r="A51">
            <v>50</v>
          </cell>
          <cell r="B51">
            <v>1527</v>
          </cell>
          <cell r="D51">
            <v>25</v>
          </cell>
          <cell r="E51" t="str">
            <v>PRO-LABORE CF. FOLHA</v>
          </cell>
        </row>
        <row r="52">
          <cell r="A52">
            <v>51</v>
          </cell>
          <cell r="B52">
            <v>907</v>
          </cell>
          <cell r="D52">
            <v>26</v>
          </cell>
          <cell r="E52" t="str">
            <v>PAGTO SALARIO CF. FOLHA REF.</v>
          </cell>
        </row>
        <row r="53">
          <cell r="A53">
            <v>52</v>
          </cell>
          <cell r="B53">
            <v>1530</v>
          </cell>
          <cell r="D53">
            <v>27</v>
          </cell>
          <cell r="E53" t="str">
            <v>PAGTO LIQ. FERIAS A</v>
          </cell>
        </row>
        <row r="54">
          <cell r="A54">
            <v>53</v>
          </cell>
          <cell r="D54">
            <v>28</v>
          </cell>
          <cell r="E54" t="str">
            <v>PAGTO CONTR.SINOICAL REF.</v>
          </cell>
        </row>
        <row r="55">
          <cell r="A55">
            <v>54</v>
          </cell>
          <cell r="D55">
            <v>29</v>
          </cell>
          <cell r="E55" t="str">
            <v>PAGTO CONTR.ASSIST.REF.</v>
          </cell>
        </row>
        <row r="56">
          <cell r="A56">
            <v>55</v>
          </cell>
          <cell r="D56">
            <v>30</v>
          </cell>
          <cell r="E56" t="str">
            <v>PAGTO PRO-LABORE CF.RECIBO A (O) SR (A)</v>
          </cell>
        </row>
        <row r="57">
          <cell r="A57">
            <v>56</v>
          </cell>
          <cell r="B57">
            <v>881</v>
          </cell>
          <cell r="D57">
            <v>31</v>
          </cell>
          <cell r="E57" t="str">
            <v>PAGTO FGTS REF.</v>
          </cell>
        </row>
        <row r="58">
          <cell r="A58">
            <v>57</v>
          </cell>
          <cell r="B58">
            <v>880</v>
          </cell>
          <cell r="D58">
            <v>32</v>
          </cell>
          <cell r="E58" t="str">
            <v>PAGTO INSS REF.</v>
          </cell>
        </row>
        <row r="59">
          <cell r="A59">
            <v>58</v>
          </cell>
          <cell r="D59">
            <v>33</v>
          </cell>
          <cell r="E59" t="str">
            <v>PAGTO P PARC. 13° SALARIO</v>
          </cell>
        </row>
        <row r="60">
          <cell r="A60">
            <v>59</v>
          </cell>
          <cell r="D60">
            <v>34</v>
          </cell>
          <cell r="E60" t="str">
            <v>PAGTO 2ª PARC. 13° SALARIO</v>
          </cell>
        </row>
        <row r="61">
          <cell r="A61">
            <v>60</v>
          </cell>
          <cell r="D61">
            <v>35</v>
          </cell>
          <cell r="E61" t="str">
            <v>PAGTO. IRRF S/REND.TRAB.REF.</v>
          </cell>
        </row>
        <row r="62">
          <cell r="A62">
            <v>61</v>
          </cell>
          <cell r="D62">
            <v>36</v>
          </cell>
          <cell r="E62" t="str">
            <v>PAGTO.IRRF S/PRO-LABORE REF.</v>
          </cell>
        </row>
        <row r="63">
          <cell r="A63">
            <v>62</v>
          </cell>
          <cell r="D63">
            <v>37</v>
          </cell>
          <cell r="E63" t="str">
            <v>PAGTO. PEN SÄ.O ALIMENTICIA P/DEP. DE</v>
          </cell>
        </row>
        <row r="64">
          <cell r="A64">
            <v>63</v>
          </cell>
          <cell r="D64">
            <v>38</v>
          </cell>
          <cell r="E64" t="str">
            <v>PAGTO RESCISÁO CONTRATUAL DE</v>
          </cell>
        </row>
        <row r="65">
          <cell r="A65">
            <v>64</v>
          </cell>
          <cell r="D65">
            <v>39</v>
          </cell>
          <cell r="E65" t="str">
            <v>ARREDONDAMENTO</v>
          </cell>
        </row>
        <row r="66">
          <cell r="A66">
            <v>65</v>
          </cell>
          <cell r="D66">
            <v>40</v>
          </cell>
          <cell r="E66" t="str">
            <v>DEDUÇÓES DO F.P.A.S</v>
          </cell>
        </row>
        <row r="67">
          <cell r="A67">
            <v>66</v>
          </cell>
          <cell r="D67">
            <v>41</v>
          </cell>
          <cell r="E67" t="str">
            <v>ADIANTAMENTO FÉRIAS A</v>
          </cell>
        </row>
        <row r="68">
          <cell r="A68">
            <v>67</v>
          </cell>
          <cell r="D68">
            <v>42</v>
          </cell>
          <cell r="E68" t="str">
            <v>DESCONTADO SOBRE FOLHA</v>
          </cell>
        </row>
        <row r="69">
          <cell r="A69">
            <v>68</v>
          </cell>
          <cell r="D69">
            <v>43</v>
          </cell>
          <cell r="E69" t="str">
            <v>PAGTO.ADIANT.13° SALARIO</v>
          </cell>
        </row>
        <row r="70">
          <cell r="A70">
            <v>69</v>
          </cell>
          <cell r="D70">
            <v>44</v>
          </cell>
          <cell r="E70" t="str">
            <v>CONTR. CONFED. DESC. FOLHA</v>
          </cell>
        </row>
        <row r="71">
          <cell r="A71">
            <v>70</v>
          </cell>
          <cell r="D71">
            <v>45</v>
          </cell>
          <cell r="E71" t="str">
            <v>PAGTO CONTR.CONFEDERATIVA REF.</v>
          </cell>
        </row>
        <row r="72">
          <cell r="A72">
            <v>71</v>
          </cell>
          <cell r="D72">
            <v>46</v>
          </cell>
          <cell r="E72" t="str">
            <v>GRATIFICAÇÄO CONF. FOLHA</v>
          </cell>
        </row>
        <row r="73">
          <cell r="A73">
            <v>72</v>
          </cell>
          <cell r="D73">
            <v>47</v>
          </cell>
          <cell r="E73" t="str">
            <v>INSS S/ RESCISÁO</v>
          </cell>
        </row>
        <row r="74">
          <cell r="A74">
            <v>73</v>
          </cell>
          <cell r="D74">
            <v>48</v>
          </cell>
          <cell r="E74" t="str">
            <v>13* SALARIO INDENIZ.CF. FOLHA</v>
          </cell>
        </row>
        <row r="75">
          <cell r="A75">
            <v>74</v>
          </cell>
          <cell r="D75">
            <v>49</v>
          </cell>
          <cell r="E75" t="str">
            <v>INSS A RECOLHER S/NF.</v>
          </cell>
        </row>
        <row r="76">
          <cell r="A76">
            <v>75</v>
          </cell>
          <cell r="D76">
            <v>50</v>
          </cell>
          <cell r="E76" t="str">
            <v>INSS S/PRO LABORE</v>
          </cell>
        </row>
        <row r="77">
          <cell r="A77">
            <v>76</v>
          </cell>
          <cell r="D77">
            <v>51</v>
          </cell>
          <cell r="E77" t="str">
            <v>INSS S/FÉRIAS</v>
          </cell>
        </row>
        <row r="78">
          <cell r="A78">
            <v>77</v>
          </cell>
          <cell r="D78">
            <v>52</v>
          </cell>
          <cell r="E78" t="str">
            <v>PROV. INSS REF.</v>
          </cell>
        </row>
        <row r="79">
          <cell r="A79">
            <v>78</v>
          </cell>
          <cell r="D79">
            <v>53</v>
          </cell>
          <cell r="E79" t="str">
            <v>PGTO DE CONTRIB. S/PLR REF.</v>
          </cell>
        </row>
        <row r="80">
          <cell r="A80">
            <v>79</v>
          </cell>
          <cell r="D80">
            <v>54</v>
          </cell>
          <cell r="E80" t="str">
            <v>CRÉDITO INSS CF. FOLHA</v>
          </cell>
        </row>
        <row r="81">
          <cell r="A81">
            <v>80</v>
          </cell>
          <cell r="D81">
            <v>55</v>
          </cell>
          <cell r="E81" t="str">
            <v>TRANSF.REF. ADTO 13* SALARIO</v>
          </cell>
        </row>
        <row r="82">
          <cell r="A82">
            <v>81</v>
          </cell>
          <cell r="D82">
            <v>56</v>
          </cell>
          <cell r="E82" t="str">
            <v>TRANSF. ADIANT. DE FÉRIAS</v>
          </cell>
        </row>
        <row r="83">
          <cell r="A83">
            <v>82</v>
          </cell>
          <cell r="D83">
            <v>57</v>
          </cell>
          <cell r="E83" t="str">
            <v>BENEFICIOS CONF. FL. PAGTO</v>
          </cell>
        </row>
        <row r="84">
          <cell r="A84">
            <v>83</v>
          </cell>
          <cell r="D84">
            <v>58</v>
          </cell>
          <cell r="E84" t="str">
            <v>FÉRIAS INDENIZADAS CF. FOLHA</v>
          </cell>
        </row>
        <row r="85">
          <cell r="A85">
            <v>84</v>
          </cell>
          <cell r="D85">
            <v>59</v>
          </cell>
          <cell r="E85" t="str">
            <v>FGTS S/RESCISÁO - GRRF</v>
          </cell>
        </row>
        <row r="86">
          <cell r="A86">
            <v>85</v>
          </cell>
          <cell r="D86">
            <v>60</v>
          </cell>
          <cell r="E86" t="str">
            <v>IRRF S/ RESCISÁO</v>
          </cell>
        </row>
        <row r="87">
          <cell r="A87">
            <v>86</v>
          </cell>
          <cell r="D87">
            <v>61</v>
          </cell>
          <cell r="E87" t="str">
            <v>PROV. DE FERIAS REF.</v>
          </cell>
        </row>
        <row r="88">
          <cell r="A88">
            <v>87</v>
          </cell>
          <cell r="D88">
            <v>62</v>
          </cell>
          <cell r="E88" t="str">
            <v>IRRF S/13* SALÁ.RIO</v>
          </cell>
        </row>
        <row r="89">
          <cell r="A89">
            <v>88</v>
          </cell>
          <cell r="D89">
            <v>63</v>
          </cell>
          <cell r="E89" t="str">
            <v>COMISSÓES CONF. FOLHA</v>
          </cell>
        </row>
        <row r="90">
          <cell r="A90">
            <v>89</v>
          </cell>
          <cell r="D90">
            <v>64</v>
          </cell>
          <cell r="E90" t="str">
            <v>PARTI C. NO LUCRO E RESULTADO CF. FOLHA</v>
          </cell>
        </row>
        <row r="91">
          <cell r="A91">
            <v>90</v>
          </cell>
          <cell r="D91">
            <v>65</v>
          </cell>
          <cell r="E91" t="str">
            <v>CESTA BÁSICA CONF. FOLHA</v>
          </cell>
        </row>
        <row r="92">
          <cell r="A92">
            <v>91</v>
          </cell>
          <cell r="D92">
            <v>66</v>
          </cell>
          <cell r="E92" t="str">
            <v>PAGTO CONTRIB. NEGOCIAL REF.</v>
          </cell>
        </row>
        <row r="93">
          <cell r="A93">
            <v>92</v>
          </cell>
          <cell r="D93">
            <v>67</v>
          </cell>
          <cell r="E93" t="str">
            <v>CONTRIBUIÇÁO NEGOCIAL CFE FOLHA</v>
          </cell>
        </row>
        <row r="94">
          <cell r="A94">
            <v>93</v>
          </cell>
          <cell r="D94">
            <v>68</v>
          </cell>
          <cell r="E94" t="str">
            <v>INSS CONTRIB. INDIVIDUAL CF. FOLHA</v>
          </cell>
        </row>
        <row r="95">
          <cell r="A95">
            <v>94</v>
          </cell>
          <cell r="D95">
            <v>69</v>
          </cell>
          <cell r="E95" t="str">
            <v>INSS RETIDO S/NFS.</v>
          </cell>
        </row>
        <row r="96">
          <cell r="A96">
            <v>95</v>
          </cell>
          <cell r="D96">
            <v>70</v>
          </cell>
          <cell r="E96" t="str">
            <v>INSS TERCEIROS - SEST/SENAT</v>
          </cell>
        </row>
        <row r="97">
          <cell r="A97">
            <v>96</v>
          </cell>
          <cell r="D97">
            <v>71</v>
          </cell>
          <cell r="E97" t="str">
            <v>IRRF S/FÉRIAS</v>
          </cell>
        </row>
        <row r="98">
          <cell r="A98">
            <v>97</v>
          </cell>
          <cell r="D98">
            <v>72</v>
          </cell>
          <cell r="E98" t="str">
            <v>PREST. SERY. S/RPA CONF. FOLHA</v>
          </cell>
        </row>
        <row r="99">
          <cell r="A99">
            <v>98</v>
          </cell>
          <cell r="D99">
            <v>73</v>
          </cell>
          <cell r="E99" t="str">
            <v>CONTRIBUIÇÁO S/PLR A RECOLHER</v>
          </cell>
        </row>
        <row r="100">
          <cell r="A100">
            <v>99</v>
          </cell>
          <cell r="D100">
            <v>74</v>
          </cell>
          <cell r="E100" t="str">
            <v>INSS S/ RPA</v>
          </cell>
        </row>
        <row r="101">
          <cell r="A101">
            <v>100</v>
          </cell>
          <cell r="D101">
            <v>75</v>
          </cell>
          <cell r="E101" t="str">
            <v>IRRF S/SERVIÇOS - RPA</v>
          </cell>
        </row>
        <row r="102">
          <cell r="A102">
            <v>101</v>
          </cell>
          <cell r="D102">
            <v>76</v>
          </cell>
          <cell r="E102" t="str">
            <v>PROV. DE 13* SALARIO REF.</v>
          </cell>
        </row>
        <row r="103">
          <cell r="A103">
            <v>102</v>
          </cell>
          <cell r="D103">
            <v>77</v>
          </cell>
          <cell r="E103" t="str">
            <v>AVISO PREVIO INDENIZADO</v>
          </cell>
        </row>
        <row r="104">
          <cell r="A104">
            <v>103</v>
          </cell>
          <cell r="D104">
            <v>78</v>
          </cell>
          <cell r="E104" t="str">
            <v>DIA DO FARMACEUTICO CF. FOLHA</v>
          </cell>
        </row>
        <row r="105">
          <cell r="A105">
            <v>104</v>
          </cell>
          <cell r="D105">
            <v>79</v>
          </cell>
          <cell r="E105" t="str">
            <v>AUXILIO CRECHE CONF. FOLHA</v>
          </cell>
        </row>
        <row r="106">
          <cell r="A106">
            <v>105</v>
          </cell>
          <cell r="D106">
            <v>80</v>
          </cell>
          <cell r="E106" t="str">
            <v>BX. ENCARGOS DE FGTS S/PROV. 13* SALARIO</v>
          </cell>
        </row>
        <row r="107">
          <cell r="A107">
            <v>106</v>
          </cell>
          <cell r="D107">
            <v>81</v>
          </cell>
          <cell r="E107" t="str">
            <v>PENSÄO S/ FÉRIAS</v>
          </cell>
        </row>
        <row r="108">
          <cell r="A108">
            <v>107</v>
          </cell>
          <cell r="D108">
            <v>82</v>
          </cell>
          <cell r="E108" t="str">
            <v>PENSÄO JUDICIAL</v>
          </cell>
        </row>
        <row r="109">
          <cell r="A109">
            <v>108</v>
          </cell>
          <cell r="D109">
            <v>83</v>
          </cell>
          <cell r="E109" t="str">
            <v>BX. ENCARGOS FGTS S/PROV. FERIAS</v>
          </cell>
        </row>
        <row r="110">
          <cell r="A110">
            <v>109</v>
          </cell>
          <cell r="D110">
            <v>84</v>
          </cell>
          <cell r="E110" t="str">
            <v>BX. ENCARGOS DE INSS S/PROV. DE FERIAS</v>
          </cell>
        </row>
        <row r="111">
          <cell r="A111">
            <v>110</v>
          </cell>
          <cell r="D111">
            <v>85</v>
          </cell>
          <cell r="E111" t="str">
            <v>BX. ENCARGOS DE INSS S/PROV. 13* SALARIO</v>
          </cell>
        </row>
        <row r="112">
          <cell r="A112">
            <v>111</v>
          </cell>
          <cell r="D112">
            <v>86</v>
          </cell>
          <cell r="E112" t="str">
            <v>INSS REF. DESONERAÇÄO DE FOLHA</v>
          </cell>
        </row>
        <row r="113">
          <cell r="A113">
            <v>112</v>
          </cell>
          <cell r="D113">
            <v>87</v>
          </cell>
          <cell r="E113" t="str">
            <v>IRRF REF. DESONERAÇÄO DE FOLHA</v>
          </cell>
        </row>
        <row r="114">
          <cell r="A114">
            <v>113</v>
          </cell>
          <cell r="D114">
            <v>88</v>
          </cell>
          <cell r="E114" t="str">
            <v>PAGTO IRRF S/OESONERAÇÄO DE FOLHA REF.</v>
          </cell>
        </row>
        <row r="115">
          <cell r="A115">
            <v>114</v>
          </cell>
          <cell r="D115">
            <v>89</v>
          </cell>
          <cell r="E115" t="str">
            <v>DIA DO COMERCIARIO CF. FOLHA</v>
          </cell>
        </row>
        <row r="116">
          <cell r="A116">
            <v>115</v>
          </cell>
          <cell r="D116">
            <v>90</v>
          </cell>
          <cell r="E116" t="str">
            <v>DESPESAS C/UNIFORMES CF. FOLHA</v>
          </cell>
        </row>
        <row r="117">
          <cell r="A117">
            <v>116</v>
          </cell>
          <cell r="D117">
            <v>91</v>
          </cell>
          <cell r="E117" t="str">
            <v>ABONO ESPECIAL CF. FOLHA</v>
          </cell>
        </row>
        <row r="118">
          <cell r="A118">
            <v>117</v>
          </cell>
          <cell r="D118">
            <v>92</v>
          </cell>
          <cell r="E118" t="str">
            <v>AVISO PRÉVIO DESCONTADO</v>
          </cell>
        </row>
        <row r="119">
          <cell r="A119">
            <v>118</v>
          </cell>
          <cell r="D119">
            <v>93</v>
          </cell>
          <cell r="E119" t="str">
            <v>INSS S/CQT</v>
          </cell>
        </row>
        <row r="120">
          <cell r="A120">
            <v>119</v>
          </cell>
          <cell r="D120">
            <v>94</v>
          </cell>
          <cell r="E120" t="str">
            <v>PROV. FGTS REF.</v>
          </cell>
        </row>
        <row r="121">
          <cell r="A121">
            <v>120</v>
          </cell>
          <cell r="D121">
            <v>95</v>
          </cell>
          <cell r="E121" t="str">
            <v>BOLSA AUXILIO - ESTAGIARIOS</v>
          </cell>
        </row>
        <row r="122">
          <cell r="A122">
            <v>121</v>
          </cell>
          <cell r="D122">
            <v>96</v>
          </cell>
          <cell r="E122" t="str">
            <v>GARANTIA DE COMISSÁO CF.FOLHA</v>
          </cell>
        </row>
        <row r="123">
          <cell r="A123">
            <v>122</v>
          </cell>
          <cell r="D123">
            <v>97</v>
          </cell>
          <cell r="E123" t="str">
            <v>CONTR. NEGOCIAL DESC. C/FOLHA</v>
          </cell>
        </row>
        <row r="124">
          <cell r="A124">
            <v>123</v>
          </cell>
          <cell r="D124">
            <v>98</v>
          </cell>
          <cell r="E124" t="str">
            <v>ANTECIPAÇÄO DE V.TRANSPORTE CF. FOLHA</v>
          </cell>
        </row>
        <row r="125">
          <cell r="A125">
            <v>124</v>
          </cell>
          <cell r="D125">
            <v>99</v>
          </cell>
          <cell r="E125" t="str">
            <v>AUX. COMBUSTÍVEL CF.FOLHA</v>
          </cell>
        </row>
        <row r="126">
          <cell r="A126">
            <v>125</v>
          </cell>
          <cell r="D126">
            <v>100</v>
          </cell>
          <cell r="E126" t="str">
            <v>** ESCRITA FISCAL**</v>
          </cell>
        </row>
        <row r="127">
          <cell r="A127">
            <v>126</v>
          </cell>
          <cell r="D127">
            <v>101</v>
          </cell>
          <cell r="E127" t="str">
            <v>PAGTO.PIS FAT.REF.</v>
          </cell>
        </row>
        <row r="128">
          <cell r="A128">
            <v>127</v>
          </cell>
          <cell r="D128">
            <v>102</v>
          </cell>
          <cell r="E128" t="str">
            <v>PAGTO FUNRURAL REF.</v>
          </cell>
        </row>
        <row r="129">
          <cell r="A129">
            <v>128</v>
          </cell>
          <cell r="D129">
            <v>103</v>
          </cell>
          <cell r="E129" t="str">
            <v>PAGTO.ISS REF.</v>
          </cell>
        </row>
        <row r="130">
          <cell r="A130">
            <v>129</v>
          </cell>
          <cell r="D130">
            <v>104</v>
          </cell>
          <cell r="E130" t="str">
            <v>PAGTO ICMS REF.</v>
          </cell>
        </row>
        <row r="131">
          <cell r="A131">
            <v>130</v>
          </cell>
          <cell r="D131">
            <v>105</v>
          </cell>
          <cell r="E131" t="str">
            <v>PAGTO IPI REF.</v>
          </cell>
        </row>
        <row r="132">
          <cell r="A132">
            <v>131</v>
          </cell>
          <cell r="D132">
            <v>106</v>
          </cell>
          <cell r="E132" t="str">
            <v>PAGTO COFINS REF.</v>
          </cell>
        </row>
        <row r="133">
          <cell r="A133">
            <v>132</v>
          </cell>
          <cell r="D133">
            <v>107</v>
          </cell>
          <cell r="E133" t="str">
            <v>ICMS DEVIO O SNENOAS O/MES</v>
          </cell>
        </row>
        <row r="134">
          <cell r="A134">
            <v>133</v>
          </cell>
          <cell r="D134">
            <v>108</v>
          </cell>
          <cell r="E134" t="str">
            <v>ICMS CREO. S/COMPRAS O/MES</v>
          </cell>
        </row>
        <row r="135">
          <cell r="A135">
            <v>134</v>
          </cell>
          <cell r="D135">
            <v>109</v>
          </cell>
          <cell r="E135" t="str">
            <v>ICMS DEB. S/DEV. COMPRAS O/MES</v>
          </cell>
        </row>
        <row r="136">
          <cell r="A136">
            <v>135</v>
          </cell>
          <cell r="D136">
            <v>110</v>
          </cell>
          <cell r="E136" t="str">
            <v>ICMS CREO. S/DEV. VENDAS O/MES</v>
          </cell>
        </row>
        <row r="137">
          <cell r="A137">
            <v>136</v>
          </cell>
          <cell r="D137">
            <v>111</v>
          </cell>
          <cell r="E137" t="str">
            <v>l. P. l. DEVIOO SNENOAS</v>
          </cell>
        </row>
        <row r="138">
          <cell r="A138">
            <v>137</v>
          </cell>
          <cell r="D138">
            <v>112</v>
          </cell>
          <cell r="E138" t="str">
            <v>l. P. l. CREDITADO S/COMPRAS</v>
          </cell>
        </row>
        <row r="139">
          <cell r="A139">
            <v>138</v>
          </cell>
          <cell r="D139">
            <v>113</v>
          </cell>
          <cell r="E139" t="str">
            <v>l. P. l. DEB. S/DEV. COMPRAS</v>
          </cell>
        </row>
        <row r="140">
          <cell r="A140">
            <v>139</v>
          </cell>
          <cell r="D140">
            <v>114</v>
          </cell>
          <cell r="E140" t="str">
            <v>l. P. l. CREO. S/DEV.VENOAS</v>
          </cell>
        </row>
        <row r="141">
          <cell r="A141">
            <v>140</v>
          </cell>
          <cell r="D141">
            <v>115</v>
          </cell>
          <cell r="E141" t="str">
            <v>ICMS S/ SERY. TRANSP.VALORES</v>
          </cell>
        </row>
        <row r="142">
          <cell r="A142">
            <v>141</v>
          </cell>
          <cell r="D142">
            <v>116</v>
          </cell>
          <cell r="E142" t="str">
            <v>ICMS S/FRETES</v>
          </cell>
        </row>
        <row r="143">
          <cell r="A143">
            <v>142</v>
          </cell>
          <cell r="D143">
            <v>117</v>
          </cell>
          <cell r="E143" t="str">
            <v>ICMS A RECOLHER NO MES</v>
          </cell>
        </row>
        <row r="144">
          <cell r="A144">
            <v>143</v>
          </cell>
          <cell r="D144">
            <v>118</v>
          </cell>
          <cell r="E144" t="str">
            <v>l. P. l. A RECOLHER N/MES</v>
          </cell>
        </row>
        <row r="145">
          <cell r="A145">
            <v>144</v>
          </cell>
          <cell r="D145">
            <v>119</v>
          </cell>
          <cell r="E145" t="str">
            <v>PIS S/FAT. N/MES</v>
          </cell>
        </row>
        <row r="146">
          <cell r="A146">
            <v>145</v>
          </cell>
          <cell r="D146">
            <v>120</v>
          </cell>
          <cell r="E146" t="str">
            <v>COFINS S/FAT. N/MES</v>
          </cell>
        </row>
        <row r="147">
          <cell r="A147">
            <v>146</v>
          </cell>
          <cell r="D147">
            <v>121</v>
          </cell>
          <cell r="E147" t="str">
            <v>ISS S/FAT. N/MES</v>
          </cell>
        </row>
        <row r="148">
          <cell r="A148">
            <v>147</v>
          </cell>
          <cell r="D148">
            <v>122</v>
          </cell>
          <cell r="E148" t="str">
            <v>VENDAS A VISTA CF. NFS</v>
          </cell>
        </row>
        <row r="149">
          <cell r="A149">
            <v>148</v>
          </cell>
          <cell r="D149">
            <v>123</v>
          </cell>
          <cell r="E149" t="str">
            <v>SERY.PREST.A VISTA CF.NFS.</v>
          </cell>
        </row>
        <row r="150">
          <cell r="A150">
            <v>149</v>
          </cell>
          <cell r="D150">
            <v>124</v>
          </cell>
          <cell r="E150" t="str">
            <v>BENEFICIAMENTO A VISTA CF. NFS</v>
          </cell>
        </row>
        <row r="151">
          <cell r="A151">
            <v>150</v>
          </cell>
          <cell r="D151">
            <v>125</v>
          </cell>
          <cell r="E151" t="str">
            <v>ISS A RECUPERAR S/NFS.</v>
          </cell>
        </row>
        <row r="152">
          <cell r="A152">
            <v>151</v>
          </cell>
          <cell r="D152">
            <v>126</v>
          </cell>
          <cell r="E152" t="str">
            <v>VENDAS A PRAZO CF.DIVS.NFS.N/MES</v>
          </cell>
        </row>
        <row r="153">
          <cell r="A153">
            <v>152</v>
          </cell>
          <cell r="D153">
            <v>127</v>
          </cell>
          <cell r="E153" t="str">
            <v>SERY.PREST. A PRAZO CF. NFS</v>
          </cell>
        </row>
        <row r="154">
          <cell r="A154">
            <v>153</v>
          </cell>
          <cell r="D154">
            <v>128</v>
          </cell>
          <cell r="E154" t="str">
            <v>BENEF.A PRAZO CF.DIVS.NFS. N/MES</v>
          </cell>
        </row>
        <row r="155">
          <cell r="A155">
            <v>154</v>
          </cell>
          <cell r="D155">
            <v>129</v>
          </cell>
          <cell r="E155" t="str">
            <v>VENDAS DEVOLVIOAS N/MES CF.DIVS.NFS</v>
          </cell>
        </row>
        <row r="156">
          <cell r="A156">
            <v>155</v>
          </cell>
          <cell r="D156">
            <v>130</v>
          </cell>
          <cell r="E156" t="str">
            <v>ICMS S/ BENEFICIAMENTO</v>
          </cell>
        </row>
        <row r="157">
          <cell r="A157">
            <v>156</v>
          </cell>
          <cell r="D157">
            <v>131</v>
          </cell>
          <cell r="E157" t="str">
            <v>DESCONTO/ABATIMENTO SOBRE ABASTECIMENTO</v>
          </cell>
        </row>
        <row r="158">
          <cell r="A158">
            <v>157</v>
          </cell>
          <cell r="D158">
            <v>132</v>
          </cell>
          <cell r="E158" t="str">
            <v>COMPRAS A VISTA CF. NFS</v>
          </cell>
        </row>
        <row r="159">
          <cell r="A159">
            <v>158</v>
          </cell>
          <cell r="D159">
            <v>133</v>
          </cell>
          <cell r="E159" t="str">
            <v>COMPRAS A PRAZO CF. DIVS.NFS.N/MES</v>
          </cell>
        </row>
        <row r="160">
          <cell r="A160">
            <v>159</v>
          </cell>
          <cell r="D160">
            <v>134</v>
          </cell>
          <cell r="E160" t="str">
            <v>COMPRAS DEVOLVIOAS N/MES CF.DIVS.NFS.</v>
          </cell>
        </row>
        <row r="161">
          <cell r="A161">
            <v>160</v>
          </cell>
          <cell r="D161">
            <v>135</v>
          </cell>
          <cell r="E161" t="str">
            <v>PAGTO DIVS. OUPLS. FORNECEDORES N/MES</v>
          </cell>
        </row>
        <row r="162">
          <cell r="A162">
            <v>161</v>
          </cell>
          <cell r="D162">
            <v>136</v>
          </cell>
          <cell r="E162" t="str">
            <v>PAGTO OUPL. N*</v>
          </cell>
        </row>
        <row r="163">
          <cell r="A163">
            <v>162</v>
          </cell>
          <cell r="D163">
            <v>137</v>
          </cell>
          <cell r="E163" t="str">
            <v>IPI S/OUTROS</v>
          </cell>
        </row>
        <row r="164">
          <cell r="A164">
            <v>163</v>
          </cell>
          <cell r="D164">
            <v>138</v>
          </cell>
          <cell r="E164" t="str">
            <v>IR. RETIDO N/MES SOBRE</v>
          </cell>
        </row>
        <row r="165">
          <cell r="A165">
            <v>164</v>
          </cell>
          <cell r="D165">
            <v>139</v>
          </cell>
          <cell r="E165" t="str">
            <v>CONTR. SOCIAL S/FATURAMENTO</v>
          </cell>
        </row>
        <row r="166">
          <cell r="A166">
            <v>165</v>
          </cell>
          <cell r="D166">
            <v>140</v>
          </cell>
          <cell r="E166" t="str">
            <v>IRPJ S/FATURAMENTO</v>
          </cell>
        </row>
        <row r="167">
          <cell r="A167">
            <v>166</v>
          </cell>
          <cell r="D167">
            <v>141</v>
          </cell>
          <cell r="E167" t="str">
            <v>ICMS S/OIFERENCIAL DE ALIQUOTAS</v>
          </cell>
        </row>
        <row r="168">
          <cell r="A168">
            <v>167</v>
          </cell>
          <cell r="D168">
            <v>142</v>
          </cell>
          <cell r="E168" t="str">
            <v>PAGTO ICMS S/SUBST. TRIB. REF.</v>
          </cell>
        </row>
        <row r="169">
          <cell r="A169">
            <v>168</v>
          </cell>
          <cell r="D169">
            <v>143</v>
          </cell>
          <cell r="E169" t="str">
            <v>ICMS ESTIMADO A RECOLHER REF.</v>
          </cell>
        </row>
        <row r="170">
          <cell r="A170">
            <v>169</v>
          </cell>
          <cell r="D170">
            <v>144</v>
          </cell>
          <cell r="E170" t="str">
            <v>SIMPLES NACIONAL S/FATURAMENTO</v>
          </cell>
        </row>
        <row r="171">
          <cell r="A171">
            <v>170</v>
          </cell>
          <cell r="D171">
            <v>145</v>
          </cell>
          <cell r="E171" t="str">
            <v>CREDITO DEVOLUCAO DE BENEFICIAMENTO</v>
          </cell>
        </row>
        <row r="172">
          <cell r="A172">
            <v>171</v>
          </cell>
          <cell r="D172">
            <v>146</v>
          </cell>
          <cell r="E172" t="str">
            <v>IPI S/DEVOLUÇÄO DE VENDAS</v>
          </cell>
        </row>
        <row r="173">
          <cell r="A173">
            <v>172</v>
          </cell>
          <cell r="D173">
            <v>147</v>
          </cell>
          <cell r="E173" t="str">
            <v>COMPRAS A PRAZO CONF. NF.</v>
          </cell>
        </row>
        <row r="174">
          <cell r="A174">
            <v>173</v>
          </cell>
          <cell r="D174">
            <v>148</v>
          </cell>
          <cell r="E174" t="str">
            <v>FUNRURAL S/FATURAMENTO</v>
          </cell>
        </row>
        <row r="175">
          <cell r="A175">
            <v>174</v>
          </cell>
          <cell r="D175">
            <v>149</v>
          </cell>
          <cell r="E175" t="str">
            <v>DEBITO DEVOLUCAO DE BENEFICIAMENTO</v>
          </cell>
        </row>
        <row r="176">
          <cell r="A176">
            <v>175</v>
          </cell>
          <cell r="D176">
            <v>150</v>
          </cell>
          <cell r="E176" t="str">
            <v>IOF A RECOLHER</v>
          </cell>
        </row>
        <row r="177">
          <cell r="A177">
            <v>176</v>
          </cell>
          <cell r="D177">
            <v>151</v>
          </cell>
          <cell r="E177" t="str">
            <v>ENTRADA DE REMESSA I MERC. DIVS (OUTROS)</v>
          </cell>
        </row>
        <row r="178">
          <cell r="A178">
            <v>177</v>
          </cell>
          <cell r="D178">
            <v>152</v>
          </cell>
          <cell r="E178" t="str">
            <v>SAIDA DE REMESSA I MERC. DIVS. ( OUTROS)</v>
          </cell>
        </row>
        <row r="179">
          <cell r="A179">
            <v>178</v>
          </cell>
          <cell r="D179">
            <v>153</v>
          </cell>
          <cell r="E179" t="str">
            <v>ICMS CREO. S/TRANSFERENCIAS</v>
          </cell>
        </row>
        <row r="180">
          <cell r="A180">
            <v>179</v>
          </cell>
          <cell r="D180">
            <v>154</v>
          </cell>
          <cell r="E180" t="str">
            <v>ICMS DEB. S/TRANSFERENCIAS</v>
          </cell>
        </row>
        <row r="181">
          <cell r="A181">
            <v>180</v>
          </cell>
          <cell r="D181">
            <v>155</v>
          </cell>
          <cell r="E181" t="str">
            <v>ICMS S/BONIFICAÇÄO</v>
          </cell>
        </row>
        <row r="182">
          <cell r="A182">
            <v>181</v>
          </cell>
          <cell r="D182">
            <v>156</v>
          </cell>
          <cell r="E182" t="str">
            <v>BONIFICAÇÄO CF.</v>
          </cell>
        </row>
        <row r="183">
          <cell r="A183">
            <v>182</v>
          </cell>
          <cell r="D183">
            <v>157</v>
          </cell>
          <cell r="E183" t="str">
            <v>ICMS S/ TOMADOR DE SERVIÇOS</v>
          </cell>
        </row>
        <row r="184">
          <cell r="A184">
            <v>183</v>
          </cell>
          <cell r="D184">
            <v>158</v>
          </cell>
          <cell r="E184" t="str">
            <v>TRANSFERENCIAS N/MES</v>
          </cell>
        </row>
        <row r="185">
          <cell r="A185">
            <v>184</v>
          </cell>
          <cell r="D185">
            <v>159</v>
          </cell>
          <cell r="E185" t="str">
            <v>ICMS S/OUTROS</v>
          </cell>
        </row>
        <row r="186">
          <cell r="A186">
            <v>185</v>
          </cell>
          <cell r="D186">
            <v>160</v>
          </cell>
          <cell r="E186" t="str">
            <v>IPI S/ BONIFICAÇÄO</v>
          </cell>
        </row>
        <row r="187">
          <cell r="A187">
            <v>186</v>
          </cell>
          <cell r="D187">
            <v>161</v>
          </cell>
          <cell r="E187" t="str">
            <v>FRETES CONF. CONHEC. N*</v>
          </cell>
        </row>
        <row r="188">
          <cell r="A188">
            <v>187</v>
          </cell>
          <cell r="D188">
            <v>162</v>
          </cell>
          <cell r="E188" t="str">
            <v>BENEFICIAMENTO CONF. NF.</v>
          </cell>
        </row>
        <row r="189">
          <cell r="A189">
            <v>188</v>
          </cell>
          <cell r="D189">
            <v>163</v>
          </cell>
          <cell r="E189" t="str">
            <v>COMPRA DE COMBUSTIVEL CONF. NF.</v>
          </cell>
        </row>
        <row r="190">
          <cell r="A190">
            <v>189</v>
          </cell>
          <cell r="D190">
            <v>164</v>
          </cell>
          <cell r="E190" t="str">
            <v>ICMS REF. BONUS</v>
          </cell>
        </row>
        <row r="191">
          <cell r="A191">
            <v>190</v>
          </cell>
          <cell r="D191">
            <v>165</v>
          </cell>
          <cell r="E191" t="str">
            <v>IRPJ S/FAT.ORGAOS PUBLICOS NF.</v>
          </cell>
        </row>
        <row r="192">
          <cell r="A192">
            <v>191</v>
          </cell>
          <cell r="D192">
            <v>166</v>
          </cell>
          <cell r="E192" t="str">
            <v>CSLL S/FAT.ORGAOS PUBLICOS NF.</v>
          </cell>
        </row>
        <row r="193">
          <cell r="A193">
            <v>192</v>
          </cell>
          <cell r="D193">
            <v>167</v>
          </cell>
          <cell r="E193" t="str">
            <v>PIS S/FAT.ORGAOS PUBLICOS NF.</v>
          </cell>
        </row>
        <row r="194">
          <cell r="A194">
            <v>193</v>
          </cell>
          <cell r="D194">
            <v>168</v>
          </cell>
          <cell r="E194" t="str">
            <v>COFINS S/FAT.ORGAOS PUBLICOS NF.</v>
          </cell>
        </row>
        <row r="195">
          <cell r="A195">
            <v>194</v>
          </cell>
          <cell r="D195">
            <v>169</v>
          </cell>
          <cell r="E195" t="str">
            <v>CREDITOS PIS NAO CUMULATIVO</v>
          </cell>
        </row>
        <row r="196">
          <cell r="A196">
            <v>195</v>
          </cell>
          <cell r="D196">
            <v>170</v>
          </cell>
          <cell r="E196" t="str">
            <v>CREDITOS COFINS NÀO CUMULATIVO</v>
          </cell>
        </row>
        <row r="197">
          <cell r="A197">
            <v>196</v>
          </cell>
          <cell r="D197">
            <v>171</v>
          </cell>
          <cell r="E197" t="str">
            <v>COMODATO DE BENS</v>
          </cell>
        </row>
        <row r="198">
          <cell r="A198">
            <v>197</v>
          </cell>
          <cell r="D198">
            <v>172</v>
          </cell>
          <cell r="E198" t="str">
            <v>BENEFICIAMENTO A PRAZO CONF. NF.</v>
          </cell>
        </row>
        <row r="199">
          <cell r="A199">
            <v>198</v>
          </cell>
          <cell r="D199">
            <v>173</v>
          </cell>
          <cell r="E199" t="str">
            <v>COMPRAS COMBUST./LUBRIF. N/MES</v>
          </cell>
        </row>
        <row r="200">
          <cell r="A200">
            <v>199</v>
          </cell>
          <cell r="D200">
            <v>174</v>
          </cell>
          <cell r="E200" t="str">
            <v>PIS A RECOLHER N/MES</v>
          </cell>
        </row>
        <row r="201">
          <cell r="A201">
            <v>200</v>
          </cell>
          <cell r="D201">
            <v>175</v>
          </cell>
          <cell r="E201" t="str">
            <v>COFINS A RECOLHER N/MES</v>
          </cell>
        </row>
        <row r="202">
          <cell r="A202">
            <v>201</v>
          </cell>
          <cell r="D202">
            <v>176</v>
          </cell>
          <cell r="E202" t="str">
            <v>CREDITO PIS A RECUPERAR</v>
          </cell>
        </row>
        <row r="203">
          <cell r="A203">
            <v>202</v>
          </cell>
          <cell r="D203">
            <v>177</v>
          </cell>
          <cell r="E203" t="str">
            <v>CREO. COFINS A RECUPERAR</v>
          </cell>
        </row>
        <row r="204">
          <cell r="A204">
            <v>203</v>
          </cell>
          <cell r="D204">
            <v>178</v>
          </cell>
          <cell r="E204" t="str">
            <v>ICMS CREO. S/COMPRAS DE ENERGIA ELÉTRICA</v>
          </cell>
        </row>
        <row r="205">
          <cell r="A205">
            <v>204</v>
          </cell>
          <cell r="D205">
            <v>179</v>
          </cell>
          <cell r="E205" t="str">
            <v>VENDAS A PRAZO CONF. NF.</v>
          </cell>
        </row>
        <row r="206">
          <cell r="A206">
            <v>205</v>
          </cell>
          <cell r="D206">
            <v>180</v>
          </cell>
          <cell r="E206" t="str">
            <v>IPI S/BENEFICIAMENTO</v>
          </cell>
        </row>
        <row r="207">
          <cell r="A207">
            <v>206</v>
          </cell>
          <cell r="D207">
            <v>181</v>
          </cell>
          <cell r="E207" t="str">
            <v>PROV. e.SOCIAL REF.</v>
          </cell>
        </row>
        <row r="208">
          <cell r="A208">
            <v>207</v>
          </cell>
          <cell r="D208">
            <v>182</v>
          </cell>
          <cell r="E208" t="str">
            <v>PROV. IRPJ REF.</v>
          </cell>
        </row>
        <row r="209">
          <cell r="A209">
            <v>208</v>
          </cell>
          <cell r="D209">
            <v>183</v>
          </cell>
          <cell r="E209" t="str">
            <v>PAGTO SIMPLES NACIONAL REF.</v>
          </cell>
        </row>
        <row r="210">
          <cell r="A210">
            <v>209</v>
          </cell>
          <cell r="D210">
            <v>184</v>
          </cell>
          <cell r="E210" t="str">
            <v>SERVIÇOS PREST. A PRAZO CF. NF.</v>
          </cell>
        </row>
        <row r="211">
          <cell r="A211">
            <v>210</v>
          </cell>
          <cell r="D211">
            <v>185</v>
          </cell>
          <cell r="E211" t="str">
            <v>MERC. RECEB. P/CONSIGNAÇÄO</v>
          </cell>
        </row>
        <row r="212">
          <cell r="A212">
            <v>211</v>
          </cell>
          <cell r="D212">
            <v>186</v>
          </cell>
          <cell r="E212" t="str">
            <v>MERC. ENV. P/CONSIGNAÇÄO</v>
          </cell>
        </row>
        <row r="213">
          <cell r="A213">
            <v>212</v>
          </cell>
          <cell r="D213">
            <v>187</v>
          </cell>
          <cell r="E213" t="str">
            <v>VENDA DE MERC. CONSIGNADA</v>
          </cell>
        </row>
        <row r="214">
          <cell r="A214">
            <v>213</v>
          </cell>
          <cell r="D214">
            <v>188</v>
          </cell>
          <cell r="E214" t="str">
            <v>DEVOLUÇÄO DE MERC. CONSIGNADA</v>
          </cell>
        </row>
        <row r="215">
          <cell r="A215">
            <v>214</v>
          </cell>
          <cell r="D215">
            <v>189</v>
          </cell>
          <cell r="E215" t="str">
            <v>LOCAÇÄO EQUIPTOS CONF. NF.</v>
          </cell>
        </row>
        <row r="216">
          <cell r="A216">
            <v>215</v>
          </cell>
          <cell r="D216">
            <v>190</v>
          </cell>
          <cell r="E216" t="str">
            <v>DEDUÇÄO ICMS ME/EPP</v>
          </cell>
        </row>
        <row r="217">
          <cell r="A217">
            <v>216</v>
          </cell>
          <cell r="D217">
            <v>191</v>
          </cell>
          <cell r="E217" t="str">
            <v>ICMS S/SUBSTITUIÇÁO TRIBUTARIA</v>
          </cell>
        </row>
        <row r="218">
          <cell r="A218">
            <v>217</v>
          </cell>
          <cell r="D218">
            <v>192</v>
          </cell>
          <cell r="E218" t="str">
            <v>ISS RETIDO S/NF.</v>
          </cell>
        </row>
        <row r="219">
          <cell r="A219">
            <v>218</v>
          </cell>
          <cell r="D219">
            <v>193</v>
          </cell>
          <cell r="E219" t="str">
            <v>IPI DEBITADO S/ TRANSFERENCIAS</v>
          </cell>
        </row>
        <row r="220">
          <cell r="A220">
            <v>219</v>
          </cell>
          <cell r="D220">
            <v>194</v>
          </cell>
          <cell r="E220" t="str">
            <v>CONHECIMENTO DE TRANSP. N*</v>
          </cell>
        </row>
        <row r="221">
          <cell r="A221">
            <v>220</v>
          </cell>
          <cell r="D221">
            <v>195</v>
          </cell>
          <cell r="E221" t="str">
            <v>CUSTO APURADO DAS MERC. N/MES</v>
          </cell>
        </row>
        <row r="222">
          <cell r="A222">
            <v>221</v>
          </cell>
          <cell r="D222">
            <v>196</v>
          </cell>
          <cell r="E222" t="str">
            <v>CU STO APURADO MAT. PRIMA N/MES</v>
          </cell>
        </row>
        <row r="223">
          <cell r="A223">
            <v>222</v>
          </cell>
          <cell r="D223">
            <v>198</v>
          </cell>
          <cell r="E223" t="str">
            <v>INSS A RECUPERAR DO MÊS</v>
          </cell>
        </row>
        <row r="224">
          <cell r="A224">
            <v>223</v>
          </cell>
          <cell r="D224">
            <v>199</v>
          </cell>
          <cell r="E224" t="str">
            <v>PAGTO.AESCON CF.COMPROVANTE</v>
          </cell>
        </row>
        <row r="225">
          <cell r="A225">
            <v>224</v>
          </cell>
          <cell r="D225">
            <v>200</v>
          </cell>
          <cell r="E225" t="str">
            <v>** DESPESAS GERAIS **</v>
          </cell>
        </row>
        <row r="226">
          <cell r="A226">
            <v>225</v>
          </cell>
          <cell r="D226">
            <v>201</v>
          </cell>
          <cell r="E226" t="str">
            <v>IR. DESC.S/ALUGUEL</v>
          </cell>
        </row>
        <row r="227">
          <cell r="A227">
            <v>226</v>
          </cell>
          <cell r="D227">
            <v>202</v>
          </cell>
          <cell r="E227" t="str">
            <v>IRRF.DESC.S/NF.</v>
          </cell>
        </row>
        <row r="228">
          <cell r="A228">
            <v>227</v>
          </cell>
          <cell r="D228">
            <v>203</v>
          </cell>
          <cell r="E228" t="str">
            <v>IRRF DESC. S/COMISSÓES</v>
          </cell>
        </row>
        <row r="229">
          <cell r="A229">
            <v>228</v>
          </cell>
          <cell r="D229">
            <v>204</v>
          </cell>
          <cell r="E229" t="str">
            <v>IRRF DESC. S/HONORARIOS</v>
          </cell>
        </row>
        <row r="230">
          <cell r="A230">
            <v>229</v>
          </cell>
          <cell r="D230">
            <v>205</v>
          </cell>
          <cell r="E230" t="str">
            <v>PAGTO IRRF S/ NF.</v>
          </cell>
        </row>
        <row r="231">
          <cell r="A231">
            <v>230</v>
          </cell>
          <cell r="D231">
            <v>206</v>
          </cell>
          <cell r="E231" t="str">
            <v>PAGTO IRRF S/ALUGUEL REF.</v>
          </cell>
        </row>
        <row r="232">
          <cell r="A232">
            <v>231</v>
          </cell>
          <cell r="D232">
            <v>207</v>
          </cell>
          <cell r="E232" t="str">
            <v>PAGTO IRRF S/FRETES</v>
          </cell>
        </row>
        <row r="233">
          <cell r="A233">
            <v>232</v>
          </cell>
          <cell r="D233">
            <v>208</v>
          </cell>
          <cell r="E233" t="str">
            <v>PAGTO TAXA FISC. DE PUBLIC. EXERC.</v>
          </cell>
        </row>
        <row r="234">
          <cell r="A234">
            <v>233</v>
          </cell>
          <cell r="D234">
            <v>209</v>
          </cell>
          <cell r="E234" t="str">
            <v>BAIXA PARCELA APOLICE N*</v>
          </cell>
        </row>
        <row r="235">
          <cell r="A235">
            <v>234</v>
          </cell>
          <cell r="D235" t="str">
            <v>21 O</v>
          </cell>
          <cell r="E235" t="str">
            <v>PAGTO CONHECIMENTO DE TRANS P. N*</v>
          </cell>
        </row>
        <row r="236">
          <cell r="A236">
            <v>235</v>
          </cell>
          <cell r="D236">
            <v>211</v>
          </cell>
          <cell r="E236" t="str">
            <v>PAGTO DVS. CONHECS.TRANSPORTES</v>
          </cell>
        </row>
        <row r="237">
          <cell r="A237">
            <v>236</v>
          </cell>
          <cell r="D237">
            <v>212</v>
          </cell>
          <cell r="E237" t="str">
            <v>CONF. NF. N*</v>
          </cell>
        </row>
        <row r="238">
          <cell r="A238">
            <v>237</v>
          </cell>
          <cell r="D238">
            <v>213</v>
          </cell>
          <cell r="E238" t="str">
            <v>PAGTO DESP.N/MES CF.COMPRAS</v>
          </cell>
        </row>
        <row r="239">
          <cell r="A239">
            <v>238</v>
          </cell>
          <cell r="D239">
            <v>214</v>
          </cell>
          <cell r="E239" t="str">
            <v>PAGTO A ORG.CONT.TRIANGULO S/S NF. Nº</v>
          </cell>
        </row>
        <row r="240">
          <cell r="A240">
            <v>239</v>
          </cell>
          <cell r="D240">
            <v>215</v>
          </cell>
          <cell r="E240" t="str">
            <v>PAGTO HONORARIOS ADVOCATICIOS A</v>
          </cell>
        </row>
        <row r="241">
          <cell r="A241">
            <v>240</v>
          </cell>
          <cell r="D241">
            <v>216</v>
          </cell>
          <cell r="E241" t="str">
            <v>PAGTO.DESP.VIAGENS CF.COMPROV.</v>
          </cell>
        </row>
        <row r="242">
          <cell r="A242">
            <v>241</v>
          </cell>
          <cell r="D242">
            <v>217</v>
          </cell>
          <cell r="E242" t="str">
            <v>PAGTO FATURA N*</v>
          </cell>
        </row>
        <row r="243">
          <cell r="A243">
            <v>242</v>
          </cell>
          <cell r="D243">
            <v>218</v>
          </cell>
          <cell r="E243" t="str">
            <v>CONF. RECIBO (S)</v>
          </cell>
        </row>
        <row r="244">
          <cell r="A244">
            <v>243</v>
          </cell>
          <cell r="D244">
            <v>219</v>
          </cell>
          <cell r="E244" t="str">
            <v>PAGTO CONTA DE LUZ REF.</v>
          </cell>
        </row>
        <row r="245">
          <cell r="A245">
            <v>244</v>
          </cell>
          <cell r="D245">
            <v>220</v>
          </cell>
          <cell r="E245" t="str">
            <v>PAGTO CONTA DE AGUA REF.</v>
          </cell>
        </row>
        <row r="246">
          <cell r="A246">
            <v>245</v>
          </cell>
          <cell r="D246">
            <v>221</v>
          </cell>
          <cell r="E246" t="str">
            <v>PAGTO CONTA DE TELEFONE REF.</v>
          </cell>
        </row>
        <row r="247">
          <cell r="A247">
            <v>246</v>
          </cell>
          <cell r="D247">
            <v>222</v>
          </cell>
          <cell r="E247" t="str">
            <v>PAGTO ALUGUEL REF.</v>
          </cell>
        </row>
        <row r="248">
          <cell r="A248">
            <v>247</v>
          </cell>
          <cell r="D248">
            <v>223</v>
          </cell>
          <cell r="E248" t="str">
            <v>PAGTO APÓLICE DE SEGURO N*</v>
          </cell>
        </row>
        <row r="249">
          <cell r="A249">
            <v>248</v>
          </cell>
          <cell r="D249">
            <v>224</v>
          </cell>
          <cell r="E249" t="str">
            <v>DEBITO APOLICE DE SEGURO N*</v>
          </cell>
        </row>
        <row r="250">
          <cell r="A250">
            <v>249</v>
          </cell>
          <cell r="D250">
            <v>225</v>
          </cell>
          <cell r="E250" t="str">
            <v>PAGTO DESP.C/LICENC.VEICULO</v>
          </cell>
        </row>
        <row r="251">
          <cell r="A251">
            <v>250</v>
          </cell>
          <cell r="D251">
            <v>226</v>
          </cell>
          <cell r="E251" t="str">
            <v>PAGTO COMBUSTIVEL CF.</v>
          </cell>
        </row>
        <row r="252">
          <cell r="A252">
            <v>251</v>
          </cell>
          <cell r="D252">
            <v>227</v>
          </cell>
          <cell r="E252" t="str">
            <v>IRRF DESC. S/POUPANCA</v>
          </cell>
        </row>
        <row r="253">
          <cell r="A253">
            <v>252</v>
          </cell>
          <cell r="D253">
            <v>228</v>
          </cell>
          <cell r="E253" t="str">
            <v>RENDIMENTOS S/POUPANCA</v>
          </cell>
        </row>
        <row r="254">
          <cell r="A254">
            <v>253</v>
          </cell>
          <cell r="D254">
            <v>229</v>
          </cell>
          <cell r="E254" t="str">
            <v>DESPESAS C/ IMPORTACAO CF.NF.</v>
          </cell>
        </row>
        <row r="255">
          <cell r="A255">
            <v>254</v>
          </cell>
          <cell r="D255">
            <v>230</v>
          </cell>
          <cell r="E255" t="str">
            <v>PAGTO CONTR. SIND. PATRONAL REF.</v>
          </cell>
        </row>
        <row r="256">
          <cell r="A256">
            <v>255</v>
          </cell>
          <cell r="D256">
            <v>231</v>
          </cell>
          <cell r="E256" t="str">
            <v>PAGTO.TAXA LIC.E LOCAL .PM. REF.</v>
          </cell>
        </row>
        <row r="257">
          <cell r="A257">
            <v>256</v>
          </cell>
          <cell r="D257">
            <v>232</v>
          </cell>
          <cell r="E257" t="str">
            <v>PAGTO TAXA FISC. LOCALIZ. E FUNC. EX.</v>
          </cell>
        </row>
        <row r="258">
          <cell r="A258">
            <v>257</v>
          </cell>
          <cell r="D258">
            <v>233</v>
          </cell>
          <cell r="E258" t="str">
            <v>PAGTO MULTA DE MORA SOBRE</v>
          </cell>
        </row>
        <row r="259">
          <cell r="A259">
            <v>258</v>
          </cell>
          <cell r="D259">
            <v>234</v>
          </cell>
          <cell r="E259" t="str">
            <v>PAGTO IOF REF.</v>
          </cell>
        </row>
        <row r="260">
          <cell r="A260">
            <v>259</v>
          </cell>
          <cell r="D260">
            <v>235</v>
          </cell>
          <cell r="E260" t="str">
            <v>PAGTO CONTR.SOCIAL REF.</v>
          </cell>
        </row>
        <row r="261">
          <cell r="A261">
            <v>260</v>
          </cell>
          <cell r="D261">
            <v>236</v>
          </cell>
          <cell r="E261" t="str">
            <v>PAGTO IRPJ REF.</v>
          </cell>
        </row>
        <row r="262">
          <cell r="A262">
            <v>261</v>
          </cell>
          <cell r="D262">
            <v>237</v>
          </cell>
          <cell r="E262" t="str">
            <v>PAGTO IPTU REF.</v>
          </cell>
        </row>
        <row r="263">
          <cell r="A263">
            <v>262</v>
          </cell>
          <cell r="D263">
            <v>238</v>
          </cell>
          <cell r="E263" t="str">
            <v>COMPRA VALE TRANSP.CF.RECIBO</v>
          </cell>
        </row>
        <row r="264">
          <cell r="A264">
            <v>263</v>
          </cell>
          <cell r="D264">
            <v>239</v>
          </cell>
          <cell r="E264" t="str">
            <v>PGTO DIVERSAS NFS.</v>
          </cell>
        </row>
        <row r="265">
          <cell r="A265">
            <v>264</v>
          </cell>
          <cell r="D265">
            <v>240</v>
          </cell>
          <cell r="E265" t="str">
            <v>PAGTO TAXA TFILF REF.</v>
          </cell>
        </row>
        <row r="266">
          <cell r="A266">
            <v>265</v>
          </cell>
          <cell r="D266">
            <v>241</v>
          </cell>
          <cell r="E266" t="str">
            <v>PAGTO CONF. COMPROVANTE (S)</v>
          </cell>
        </row>
        <row r="267">
          <cell r="A267">
            <v>266</v>
          </cell>
          <cell r="D267">
            <v>242</v>
          </cell>
          <cell r="E267" t="str">
            <v>PAGTO PARCELA</v>
          </cell>
        </row>
        <row r="268">
          <cell r="A268">
            <v>267</v>
          </cell>
          <cell r="D268">
            <v>243</v>
          </cell>
          <cell r="E268" t="str">
            <v>R ET.PIS/CO FINS/CS LL CONF.NF.</v>
          </cell>
        </row>
        <row r="269">
          <cell r="A269">
            <v>268</v>
          </cell>
          <cell r="D269">
            <v>244</v>
          </cell>
          <cell r="E269" t="str">
            <v>VALOR REEMBOLSADO REF.</v>
          </cell>
        </row>
        <row r="270">
          <cell r="A270">
            <v>269</v>
          </cell>
          <cell r="D270">
            <v>245</v>
          </cell>
          <cell r="E270" t="str">
            <v>NOSSO PAGTO NO MES REF.</v>
          </cell>
        </row>
        <row r="271">
          <cell r="A271">
            <v>270</v>
          </cell>
          <cell r="D271">
            <v>246</v>
          </cell>
          <cell r="E271" t="str">
            <v>YR.REEMBOLSADO PELO (A) SOCIO (A) CONF.</v>
          </cell>
        </row>
        <row r="272">
          <cell r="A272">
            <v>271</v>
          </cell>
          <cell r="D272">
            <v>247</v>
          </cell>
          <cell r="E272" t="str">
            <v>ADIANTAMENTO DE PRO-LABORE N/MES</v>
          </cell>
        </row>
        <row r="273">
          <cell r="A273">
            <v>272</v>
          </cell>
          <cell r="D273">
            <v>248</v>
          </cell>
          <cell r="E273" t="str">
            <v>APROPR. CONHE. TRANSPORTE N*</v>
          </cell>
        </row>
        <row r="274">
          <cell r="A274">
            <v>273</v>
          </cell>
          <cell r="D274">
            <v>249</v>
          </cell>
          <cell r="E274" t="str">
            <v>PAGTO VALE TRANSPORTE CF. FOLHA</v>
          </cell>
        </row>
        <row r="275">
          <cell r="A275">
            <v>274</v>
          </cell>
          <cell r="D275">
            <v>250</v>
          </cell>
          <cell r="E275" t="str">
            <v>BAIXA DA RET. PIS/COFINS/CSLL REF.</v>
          </cell>
        </row>
        <row r="276">
          <cell r="A276">
            <v>275</v>
          </cell>
          <cell r="D276">
            <v>251</v>
          </cell>
          <cell r="E276" t="str">
            <v>PAGTO. IR S/COMISSÓES</v>
          </cell>
        </row>
        <row r="277">
          <cell r="A277">
            <v>276</v>
          </cell>
          <cell r="D277">
            <v>252</v>
          </cell>
          <cell r="E277" t="str">
            <v>PAGAMENTO REF. NF (S) N*</v>
          </cell>
        </row>
        <row r="278">
          <cell r="A278">
            <v>277</v>
          </cell>
          <cell r="D278">
            <v>253</v>
          </cell>
          <cell r="E278" t="str">
            <v>APROPRIAÇÄO DO ALUGUEL REF.</v>
          </cell>
        </row>
        <row r="279">
          <cell r="A279">
            <v>278</v>
          </cell>
          <cell r="D279">
            <v>254</v>
          </cell>
          <cell r="E279" t="str">
            <v>DESPESAS C/CONDOMINIO</v>
          </cell>
        </row>
        <row r="280">
          <cell r="A280">
            <v>279</v>
          </cell>
          <cell r="D280">
            <v>255</v>
          </cell>
          <cell r="E280" t="str">
            <v>ACRÉSCIMOS FINANC.REF.</v>
          </cell>
        </row>
        <row r="281">
          <cell r="A281">
            <v>280</v>
          </cell>
          <cell r="D281">
            <v>256</v>
          </cell>
          <cell r="E281" t="str">
            <v>ATUALIZAÇÄO MONETÁRIA CONF. EXTRATO</v>
          </cell>
        </row>
        <row r="282">
          <cell r="A282">
            <v>281</v>
          </cell>
          <cell r="D282">
            <v>257</v>
          </cell>
          <cell r="E282" t="str">
            <v>RET. COFINS CONF. NF.</v>
          </cell>
        </row>
        <row r="283">
          <cell r="A283">
            <v>282</v>
          </cell>
          <cell r="D283">
            <v>258</v>
          </cell>
          <cell r="E283" t="str">
            <v>PAGTO DA RET.PIS/COFINS/CSLL REF.</v>
          </cell>
        </row>
        <row r="284">
          <cell r="A284">
            <v>283</v>
          </cell>
          <cell r="D284">
            <v>259</v>
          </cell>
          <cell r="E284" t="str">
            <v>COMPRA DE COMB. LUBRIF. A PRAZO</v>
          </cell>
        </row>
        <row r="285">
          <cell r="A285">
            <v>284</v>
          </cell>
          <cell r="D285">
            <v>260</v>
          </cell>
          <cell r="E285" t="str">
            <v>DESPESAS C/FACTORING N/MES</v>
          </cell>
        </row>
        <row r="286">
          <cell r="A286">
            <v>285</v>
          </cell>
          <cell r="D286">
            <v>261</v>
          </cell>
          <cell r="E286" t="str">
            <v>REEMBOLSO ADTO IMPORTACAO</v>
          </cell>
        </row>
        <row r="287">
          <cell r="A287">
            <v>286</v>
          </cell>
          <cell r="D287">
            <v>262</v>
          </cell>
          <cell r="E287" t="str">
            <v>COMISSÁO S/ALUGUEL REF.</v>
          </cell>
        </row>
        <row r="288">
          <cell r="A288">
            <v>287</v>
          </cell>
          <cell r="D288">
            <v>263</v>
          </cell>
          <cell r="E288" t="str">
            <v>PAGTO DE COMISSÁO À</v>
          </cell>
        </row>
        <row r="289">
          <cell r="A289">
            <v>288</v>
          </cell>
          <cell r="D289">
            <v>264</v>
          </cell>
          <cell r="E289" t="str">
            <v>UNIFORMES CFM. FOLHA DE PGTO.</v>
          </cell>
        </row>
        <row r="290">
          <cell r="A290">
            <v>289</v>
          </cell>
          <cell r="D290">
            <v>265</v>
          </cell>
          <cell r="E290" t="str">
            <v>DESPESAS C/ESTACIONAMENTO CF.COMPROVANTE</v>
          </cell>
        </row>
        <row r="291">
          <cell r="A291">
            <v>290</v>
          </cell>
          <cell r="D291">
            <v>266</v>
          </cell>
          <cell r="E291" t="str">
            <v>PAGTO COMISSÁO S/ALUGUEL A</v>
          </cell>
        </row>
        <row r="292">
          <cell r="A292">
            <v>291</v>
          </cell>
          <cell r="D292">
            <v>267</v>
          </cell>
          <cell r="E292" t="str">
            <v>RET. CSLL CONF. NF.</v>
          </cell>
        </row>
        <row r="293">
          <cell r="A293">
            <v>292</v>
          </cell>
          <cell r="D293">
            <v>268</v>
          </cell>
          <cell r="E293" t="str">
            <v>RET. DE PIS CONF. NF.</v>
          </cell>
        </row>
        <row r="294">
          <cell r="A294">
            <v>293</v>
          </cell>
          <cell r="D294">
            <v>270</v>
          </cell>
          <cell r="E294" t="str">
            <v>PGTO. PENSÄO JUDICIAL</v>
          </cell>
        </row>
        <row r="295">
          <cell r="A295">
            <v>294</v>
          </cell>
          <cell r="D295">
            <v>280</v>
          </cell>
        </row>
        <row r="296">
          <cell r="A296">
            <v>295</v>
          </cell>
          <cell r="D296">
            <v>300</v>
          </cell>
          <cell r="E296" t="str">
            <v>** BANCOS **</v>
          </cell>
        </row>
        <row r="297">
          <cell r="A297">
            <v>296</v>
          </cell>
          <cell r="D297">
            <v>301</v>
          </cell>
          <cell r="E297" t="str">
            <v>DEP.EFET.N/MES CF.EXTRATO</v>
          </cell>
        </row>
        <row r="298">
          <cell r="A298">
            <v>297</v>
          </cell>
          <cell r="D298">
            <v>302</v>
          </cell>
          <cell r="E298" t="str">
            <v>CHEQUES SAC.N/MES CF.EXTRATO</v>
          </cell>
        </row>
        <row r="299">
          <cell r="A299">
            <v>298</v>
          </cell>
          <cell r="D299">
            <v>303</v>
          </cell>
          <cell r="E299" t="str">
            <v>CHEQUES EMITIDOS N/MES</v>
          </cell>
        </row>
        <row r="300">
          <cell r="A300">
            <v>299</v>
          </cell>
          <cell r="D300">
            <v>304</v>
          </cell>
          <cell r="E300" t="str">
            <v>CHEQUE A COMPENSAR N*</v>
          </cell>
        </row>
        <row r="301">
          <cell r="A301">
            <v>300</v>
          </cell>
          <cell r="D301">
            <v>305</v>
          </cell>
          <cell r="E301" t="str">
            <v>DEB.DESP.N/MES CF. AVISO</v>
          </cell>
        </row>
        <row r="302">
          <cell r="A302">
            <v>301</v>
          </cell>
          <cell r="D302">
            <v>306</v>
          </cell>
          <cell r="E302" t="str">
            <v>C.P.M.F. CONF.EXTRATO</v>
          </cell>
        </row>
        <row r="303">
          <cell r="A303">
            <v>302</v>
          </cell>
          <cell r="D303">
            <v>307</v>
          </cell>
          <cell r="E303" t="str">
            <v>DEB. DESPESAS S/OUPL. DESC.</v>
          </cell>
        </row>
        <row r="304">
          <cell r="A304">
            <v>303</v>
          </cell>
          <cell r="D304">
            <v>308</v>
          </cell>
          <cell r="E304" t="str">
            <v>CREO. OUPLS. DESC. N/MES</v>
          </cell>
        </row>
        <row r="305">
          <cell r="A305">
            <v>304</v>
          </cell>
          <cell r="D305">
            <v>309</v>
          </cell>
          <cell r="E305" t="str">
            <v>TRANSF. CF.AVISOS</v>
          </cell>
        </row>
        <row r="306">
          <cell r="A306">
            <v>305</v>
          </cell>
          <cell r="D306">
            <v>310</v>
          </cell>
          <cell r="E306" t="str">
            <v>DEB. OUPL. TR. P/COBR. SIMPLES N/MES</v>
          </cell>
        </row>
        <row r="307">
          <cell r="A307">
            <v>306</v>
          </cell>
          <cell r="D307">
            <v>311</v>
          </cell>
          <cell r="E307" t="str">
            <v>CHEQUE DEVOLVIOO N/MES CF. EXTRATO</v>
          </cell>
        </row>
        <row r="308">
          <cell r="A308">
            <v>307</v>
          </cell>
          <cell r="D308">
            <v>312</v>
          </cell>
          <cell r="E308" t="str">
            <v>CREO. REF.</v>
          </cell>
        </row>
        <row r="309">
          <cell r="A309">
            <v>308</v>
          </cell>
          <cell r="B309">
            <v>1</v>
          </cell>
          <cell r="D309">
            <v>313</v>
          </cell>
          <cell r="E309" t="str">
            <v>DEB.REF</v>
          </cell>
        </row>
        <row r="310">
          <cell r="A310">
            <v>309</v>
          </cell>
          <cell r="D310">
            <v>314</v>
          </cell>
          <cell r="E310" t="str">
            <v>DEB.APLICAÇÄO CF. EXTRATO</v>
          </cell>
        </row>
        <row r="311">
          <cell r="A311">
            <v>310</v>
          </cell>
          <cell r="D311">
            <v>315</v>
          </cell>
          <cell r="E311" t="str">
            <v>CREO. RESGATE APL. CF. EXTRATO</v>
          </cell>
        </row>
        <row r="312">
          <cell r="A312">
            <v>311</v>
          </cell>
          <cell r="D312">
            <v>316</v>
          </cell>
          <cell r="E312" t="str">
            <v>OUPL. EM COBRANÇA N/MES</v>
          </cell>
        </row>
        <row r="313">
          <cell r="A313">
            <v>312</v>
          </cell>
          <cell r="D313">
            <v>317</v>
          </cell>
          <cell r="E313" t="str">
            <v>CHEQUE N*</v>
          </cell>
        </row>
        <row r="314">
          <cell r="A314">
            <v>313</v>
          </cell>
          <cell r="D314">
            <v>318</v>
          </cell>
          <cell r="E314" t="str">
            <v>OUPLS. RECEBIDAS N/MES</v>
          </cell>
        </row>
        <row r="315">
          <cell r="A315">
            <v>314</v>
          </cell>
          <cell r="D315">
            <v>319</v>
          </cell>
          <cell r="E315" t="str">
            <v>RECEB. OUPL. N*</v>
          </cell>
        </row>
        <row r="316">
          <cell r="A316">
            <v>315</v>
          </cell>
          <cell r="D316">
            <v>320</v>
          </cell>
          <cell r="E316" t="str">
            <v>DESPESAS C/ FINANCIAMENTO</v>
          </cell>
        </row>
        <row r="317">
          <cell r="A317">
            <v>316</v>
          </cell>
          <cell r="D317">
            <v>321</v>
          </cell>
          <cell r="E317" t="str">
            <v>IRRF S/REND.APL. FINANCEIRAS</v>
          </cell>
        </row>
        <row r="318">
          <cell r="A318">
            <v>317</v>
          </cell>
          <cell r="D318">
            <v>322</v>
          </cell>
          <cell r="E318" t="str">
            <v>DEBITO REF. BAIXA DE CONTRATO N*</v>
          </cell>
        </row>
        <row r="319">
          <cell r="A319">
            <v>318</v>
          </cell>
          <cell r="D319">
            <v>323</v>
          </cell>
          <cell r="E319" t="str">
            <v>JUROS RECEBIDOS S/OIVS. OUPLS. N/MES</v>
          </cell>
        </row>
        <row r="320">
          <cell r="A320">
            <v>319</v>
          </cell>
          <cell r="D320">
            <v>324</v>
          </cell>
          <cell r="E320" t="str">
            <v>LIBERAÇÄO DO CONTRATO N*</v>
          </cell>
        </row>
        <row r="321">
          <cell r="A321">
            <v>320</v>
          </cell>
          <cell r="D321">
            <v>325</v>
          </cell>
          <cell r="E321" t="str">
            <v>JUROS DEBITADOS S/CONTRATO N*</v>
          </cell>
        </row>
        <row r="322">
          <cell r="A322">
            <v>321</v>
          </cell>
          <cell r="D322">
            <v>326</v>
          </cell>
          <cell r="E322" t="str">
            <v>DUPLICATAS DEBITADAS N/MES</v>
          </cell>
        </row>
        <row r="323">
          <cell r="A323">
            <v>322</v>
          </cell>
          <cell r="D323">
            <v>327</v>
          </cell>
          <cell r="E323" t="str">
            <v>CREDITOS DE DIVIDENDOS N/MES</v>
          </cell>
        </row>
        <row r="324">
          <cell r="A324">
            <v>323</v>
          </cell>
          <cell r="D324">
            <v>328</v>
          </cell>
          <cell r="E324" t="str">
            <v>LIQUIDAÇÄO DE COBRANÇA N/MES</v>
          </cell>
        </row>
        <row r="325">
          <cell r="A325">
            <v>324</v>
          </cell>
          <cell r="D325">
            <v>329</v>
          </cell>
          <cell r="E325" t="str">
            <v>BAIXA REFERENTE</v>
          </cell>
        </row>
        <row r="326">
          <cell r="A326">
            <v>325</v>
          </cell>
          <cell r="D326">
            <v>330</v>
          </cell>
          <cell r="E326" t="str">
            <v>TARIFA S/CARTÄO CF. EXTRATO</v>
          </cell>
        </row>
        <row r="327">
          <cell r="A327">
            <v>326</v>
          </cell>
          <cell r="D327">
            <v>331</v>
          </cell>
          <cell r="E327" t="str">
            <v>DESPESAS C/CARTORIO</v>
          </cell>
        </row>
        <row r="328">
          <cell r="A328">
            <v>327</v>
          </cell>
          <cell r="D328">
            <v>332</v>
          </cell>
          <cell r="E328" t="str">
            <v>N. P. REF. EMPRESTIMOS N/MES</v>
          </cell>
        </row>
        <row r="329">
          <cell r="A329">
            <v>328</v>
          </cell>
          <cell r="D329">
            <v>333</v>
          </cell>
          <cell r="E329" t="str">
            <v>RENDIMENTOS RECEB. REF.APL. FINANC.</v>
          </cell>
        </row>
        <row r="330">
          <cell r="A330">
            <v>329</v>
          </cell>
          <cell r="B330">
            <v>1734</v>
          </cell>
          <cell r="D330">
            <v>334</v>
          </cell>
          <cell r="E330" t="str">
            <v>JUROS SOBRE</v>
          </cell>
        </row>
        <row r="331">
          <cell r="A331">
            <v>330</v>
          </cell>
          <cell r="D331">
            <v>335</v>
          </cell>
          <cell r="E331" t="str">
            <v>CHEQUE COMPENSADO N*</v>
          </cell>
        </row>
        <row r="332">
          <cell r="A332">
            <v>331</v>
          </cell>
          <cell r="D332">
            <v>336</v>
          </cell>
          <cell r="E332" t="str">
            <v>DESPESAS RECUPERADAS NO MES</v>
          </cell>
        </row>
        <row r="333">
          <cell r="A333">
            <v>332</v>
          </cell>
          <cell r="D333">
            <v>337</v>
          </cell>
          <cell r="E333" t="str">
            <v>ADIANTAMENTO DE CLIENTES CONF.</v>
          </cell>
        </row>
        <row r="334">
          <cell r="A334">
            <v>333</v>
          </cell>
          <cell r="D334">
            <v>338</v>
          </cell>
          <cell r="E334" t="str">
            <v>BAIXA DE ADIANTAMENTO</v>
          </cell>
        </row>
        <row r="335">
          <cell r="A335">
            <v>334</v>
          </cell>
          <cell r="D335">
            <v>339</v>
          </cell>
          <cell r="E335" t="str">
            <v>ADIANTAMENTO A FORNECEDORES REF.</v>
          </cell>
        </row>
        <row r="336">
          <cell r="A336">
            <v>335</v>
          </cell>
          <cell r="D336">
            <v>340</v>
          </cell>
          <cell r="E336" t="str">
            <v>CHEQUES REAPRES.N/MES CF. EXTRATO</v>
          </cell>
        </row>
        <row r="337">
          <cell r="A337">
            <v>336</v>
          </cell>
          <cell r="D337">
            <v>341</v>
          </cell>
          <cell r="E337" t="str">
            <v>LIQUIDAÇÄO CONTRATO DE CAMBIO</v>
          </cell>
        </row>
        <row r="338">
          <cell r="A338">
            <v>337</v>
          </cell>
          <cell r="D338">
            <v>342</v>
          </cell>
          <cell r="E338" t="str">
            <v>VARIAÇÓES CAMBIAIS REF.</v>
          </cell>
        </row>
        <row r="339">
          <cell r="A339">
            <v>338</v>
          </cell>
          <cell r="D339">
            <v>343</v>
          </cell>
          <cell r="E339" t="str">
            <v>IOF CONF. EXTRATO</v>
          </cell>
        </row>
        <row r="340">
          <cell r="A340">
            <v>339</v>
          </cell>
          <cell r="D340">
            <v>344</v>
          </cell>
          <cell r="E340" t="str">
            <v>DESPESAS C/COBRANÇA</v>
          </cell>
        </row>
        <row r="341">
          <cell r="A341">
            <v>340</v>
          </cell>
          <cell r="D341">
            <v>345</v>
          </cell>
          <cell r="E341" t="str">
            <v>IOC CONF. EXTRATO</v>
          </cell>
        </row>
        <row r="342">
          <cell r="A342">
            <v>341</v>
          </cell>
          <cell r="D342">
            <v>346</v>
          </cell>
          <cell r="E342" t="str">
            <v>RECEBIMENTO DOACAO</v>
          </cell>
        </row>
        <row r="343">
          <cell r="A343">
            <v>342</v>
          </cell>
          <cell r="D343">
            <v>347</v>
          </cell>
          <cell r="E343" t="str">
            <v>TRANSF. P/ SUPRIMENTO DE CAIXA</v>
          </cell>
        </row>
        <row r="344">
          <cell r="A344">
            <v>343</v>
          </cell>
          <cell r="D344">
            <v>348</v>
          </cell>
          <cell r="E344" t="str">
            <v>RECEBIMENTO DE CARTÄO DE CREDITO</v>
          </cell>
        </row>
        <row r="345">
          <cell r="A345">
            <v>344</v>
          </cell>
          <cell r="D345">
            <v>349</v>
          </cell>
          <cell r="E345" t="str">
            <v>PGTO. REF. RPA Nº</v>
          </cell>
        </row>
        <row r="346">
          <cell r="A346">
            <v>345</v>
          </cell>
          <cell r="D346">
            <v>350</v>
          </cell>
          <cell r="E346" t="str">
            <v>TRANSF. CTA POUPANÇA</v>
          </cell>
        </row>
        <row r="347">
          <cell r="A347">
            <v>346</v>
          </cell>
          <cell r="D347">
            <v>351</v>
          </cell>
          <cell r="E347" t="str">
            <v>ADIANTAMENTO REF. RPA DE</v>
          </cell>
        </row>
        <row r="348">
          <cell r="A348">
            <v>347</v>
          </cell>
          <cell r="D348">
            <v>352</v>
          </cell>
          <cell r="E348" t="str">
            <v>CHEQUE REAPRES. Nº</v>
          </cell>
        </row>
        <row r="349">
          <cell r="A349">
            <v>348</v>
          </cell>
          <cell r="D349">
            <v>353</v>
          </cell>
          <cell r="E349" t="str">
            <v>RECEBIMENTO NF Nº</v>
          </cell>
        </row>
        <row r="350">
          <cell r="A350">
            <v>349</v>
          </cell>
          <cell r="D350">
            <v>354</v>
          </cell>
          <cell r="E350" t="str">
            <v>DEPOSITO EM POUPANÇA N/MES</v>
          </cell>
        </row>
        <row r="351">
          <cell r="A351">
            <v>350</v>
          </cell>
          <cell r="D351">
            <v>355</v>
          </cell>
          <cell r="E351" t="str">
            <v>PGTO. COT REF.</v>
          </cell>
        </row>
        <row r="352">
          <cell r="A352">
            <v>351</v>
          </cell>
          <cell r="D352">
            <v>356</v>
          </cell>
          <cell r="E352" t="str">
            <v>ADIANTAMENTO DE VIAGENS À</v>
          </cell>
        </row>
        <row r="353">
          <cell r="A353">
            <v>352</v>
          </cell>
          <cell r="B353">
            <v>1</v>
          </cell>
          <cell r="C353">
            <v>5</v>
          </cell>
          <cell r="D353">
            <v>357</v>
          </cell>
          <cell r="E353" t="str">
            <v>DEVOLUÇÄO DE CHEQUE Nº</v>
          </cell>
        </row>
        <row r="354">
          <cell r="A354">
            <v>353</v>
          </cell>
          <cell r="D354">
            <v>358</v>
          </cell>
          <cell r="E354" t="str">
            <v>TRANSF. P/CARTÄO DE CREDITO</v>
          </cell>
        </row>
        <row r="355">
          <cell r="A355">
            <v>354</v>
          </cell>
          <cell r="D355">
            <v>359</v>
          </cell>
          <cell r="E355" t="str">
            <v>MOVIMENTO DO MÊS</v>
          </cell>
        </row>
        <row r="356">
          <cell r="A356">
            <v>355</v>
          </cell>
          <cell r="D356">
            <v>400</v>
          </cell>
          <cell r="E356" t="str">
            <v>*** ALTERAÇÓES CONTRATUAIS ***</v>
          </cell>
        </row>
        <row r="357">
          <cell r="A357">
            <v>356</v>
          </cell>
          <cell r="D357">
            <v>401</v>
          </cell>
          <cell r="E357" t="str">
            <v>CONF.CONTR.SOCIAL REG.SOB. N*</v>
          </cell>
        </row>
        <row r="358">
          <cell r="A358">
            <v>357</v>
          </cell>
          <cell r="D358">
            <v>402</v>
          </cell>
          <cell r="E358" t="str">
            <v>ADMIS.DE SOCIO (S) CONF.ALTER.CONTR.</v>
          </cell>
        </row>
        <row r="359">
          <cell r="A359">
            <v>358</v>
          </cell>
          <cell r="D359">
            <v>403</v>
          </cell>
          <cell r="E359" t="str">
            <v>SAIDA DE SOCIO (S) CONF. ALT. CONTR.</v>
          </cell>
        </row>
        <row r="360">
          <cell r="A360">
            <v>359</v>
          </cell>
          <cell r="D360">
            <v>404</v>
          </cell>
          <cell r="E360" t="str">
            <v>CAPITAL INTEGRALIZADO N/MES</v>
          </cell>
        </row>
        <row r="361">
          <cell r="A361">
            <v>360</v>
          </cell>
          <cell r="D361">
            <v>405</v>
          </cell>
          <cell r="E361" t="str">
            <v>PELA SUBSCRIÇÁO DE CAPITAL SOCIAL</v>
          </cell>
        </row>
        <row r="362">
          <cell r="A362">
            <v>361</v>
          </cell>
          <cell r="D362">
            <v>406</v>
          </cell>
          <cell r="E362" t="str">
            <v>ALTERAÇÄO DE RAf.ÄO SOCIAL DE</v>
          </cell>
        </row>
        <row r="363">
          <cell r="A363">
            <v>362</v>
          </cell>
          <cell r="D363">
            <v>430</v>
          </cell>
          <cell r="E363" t="str">
            <v>COFINS A RECUPERAR N/MÊS</v>
          </cell>
        </row>
        <row r="364">
          <cell r="A364">
            <v>363</v>
          </cell>
          <cell r="D364">
            <v>432</v>
          </cell>
        </row>
        <row r="365">
          <cell r="A365">
            <v>364</v>
          </cell>
          <cell r="D365">
            <v>433</v>
          </cell>
          <cell r="E365" t="str">
            <v>PIS A RECUPERAR N/ MÊS</v>
          </cell>
        </row>
        <row r="366">
          <cell r="A366">
            <v>365</v>
          </cell>
          <cell r="D366">
            <v>450</v>
          </cell>
          <cell r="E366" t="str">
            <v>IPI CREDITO S/ TRANSFERENCIAS</v>
          </cell>
        </row>
        <row r="367">
          <cell r="A367">
            <v>366</v>
          </cell>
          <cell r="D367">
            <v>480</v>
          </cell>
        </row>
        <row r="368">
          <cell r="A368">
            <v>367</v>
          </cell>
          <cell r="D368">
            <v>500</v>
          </cell>
          <cell r="E368" t="str">
            <v>*** O UTR OS ***</v>
          </cell>
        </row>
        <row r="369">
          <cell r="A369">
            <v>368</v>
          </cell>
          <cell r="D369">
            <v>501</v>
          </cell>
          <cell r="E369" t="str">
            <v>PROVISIONADO NESTE EXERCICIO</v>
          </cell>
        </row>
        <row r="370">
          <cell r="A370">
            <v>369</v>
          </cell>
          <cell r="D370">
            <v>502</v>
          </cell>
          <cell r="E370" t="str">
            <v>TRANSF. P/ENCERRAMENTO</v>
          </cell>
        </row>
        <row r="371">
          <cell r="A371">
            <v>370</v>
          </cell>
          <cell r="D371">
            <v>503</v>
          </cell>
          <cell r="E371" t="str">
            <v>APROPRIAÇÄO REF.</v>
          </cell>
        </row>
        <row r="372">
          <cell r="A372">
            <v>371</v>
          </cell>
          <cell r="D372">
            <v>504</v>
          </cell>
          <cell r="E372" t="str">
            <v>TRANSFERENCIA DE BALANÇO</v>
          </cell>
        </row>
        <row r="373">
          <cell r="A373">
            <v>372</v>
          </cell>
          <cell r="D373">
            <v>505</v>
          </cell>
          <cell r="E373" t="str">
            <v>COMPL.DE VALOR EFETUADO A MENOR EM</v>
          </cell>
        </row>
        <row r="374">
          <cell r="A374">
            <v>373</v>
          </cell>
          <cell r="D374">
            <v>506</v>
          </cell>
          <cell r="E374" t="str">
            <v>RESTITUIÇÁO DO IRPJ DO EXERCICIO</v>
          </cell>
        </row>
        <row r="375">
          <cell r="A375">
            <v>374</v>
          </cell>
          <cell r="D375">
            <v>507</v>
          </cell>
          <cell r="E375" t="str">
            <v>COMPENSAÇÄO EFETUADA NO EXERCICIO</v>
          </cell>
        </row>
        <row r="376">
          <cell r="A376">
            <v>375</v>
          </cell>
          <cell r="D376">
            <v>508</v>
          </cell>
          <cell r="E376" t="str">
            <v>ENCARGOS MENSAL DE DEPRECIAÇÁO</v>
          </cell>
        </row>
        <row r="377">
          <cell r="A377">
            <v>376</v>
          </cell>
          <cell r="D377">
            <v>509</v>
          </cell>
          <cell r="E377" t="str">
            <v>ESTOQUE EM:</v>
          </cell>
        </row>
        <row r="378">
          <cell r="A378">
            <v>377</v>
          </cell>
          <cell r="D378">
            <v>510</v>
          </cell>
          <cell r="E378" t="str">
            <v>TRANSF.P/ CTA CORRENTE DE SÓCIOS</v>
          </cell>
        </row>
        <row r="379">
          <cell r="A379">
            <v>378</v>
          </cell>
          <cell r="D379">
            <v>513</v>
          </cell>
          <cell r="E379" t="str">
            <v>TRANSF.P/CTA RES.DE LUCROS</v>
          </cell>
        </row>
        <row r="380">
          <cell r="A380">
            <v>379</v>
          </cell>
          <cell r="D380">
            <v>514</v>
          </cell>
          <cell r="E380" t="str">
            <v>PGTO DE LUCRO DISTRIB.AO SÓCIO�)</v>
          </cell>
        </row>
        <row r="381">
          <cell r="A381">
            <v>380</v>
          </cell>
          <cell r="D381">
            <v>515</v>
          </cell>
          <cell r="E381" t="str">
            <v>AMORTIZAÇÄO DO PERIODO</v>
          </cell>
        </row>
        <row r="382">
          <cell r="A382">
            <v>381</v>
          </cell>
          <cell r="D382">
            <v>516</v>
          </cell>
          <cell r="E382" t="str">
            <v>EMPRESTIMO EFETUADO P/ SR. (A)</v>
          </cell>
        </row>
        <row r="383">
          <cell r="A383">
            <v>382</v>
          </cell>
          <cell r="D383">
            <v>517</v>
          </cell>
          <cell r="E383" t="str">
            <v>IMPLANTAÇÄO DO BALANÇO DE ABERTURA</v>
          </cell>
        </row>
        <row r="384">
          <cell r="A384">
            <v>383</v>
          </cell>
          <cell r="D384">
            <v>518</v>
          </cell>
          <cell r="E384" t="str">
            <v>ENCARGOS ANUAL DE DEPRECIAÇÁO</v>
          </cell>
        </row>
        <row r="385">
          <cell r="A385">
            <v>384</v>
          </cell>
          <cell r="D385">
            <v>519</v>
          </cell>
          <cell r="E385" t="str">
            <v>PAGTO EMPREST. EFET. PELO (A) SR (A)</v>
          </cell>
        </row>
        <row r="386">
          <cell r="A386">
            <v>385</v>
          </cell>
          <cell r="D386">
            <v>520</v>
          </cell>
          <cell r="E386" t="str">
            <v>ENCARGOS TRIMESTRAL DE DEPRECIAÇÄO</v>
          </cell>
        </row>
        <row r="387">
          <cell r="A387">
            <v>386</v>
          </cell>
          <cell r="D387">
            <v>521</v>
          </cell>
          <cell r="E387" t="str">
            <v>LUCRO DISTRIBUIDO AO SOCIOS</v>
          </cell>
        </row>
        <row r="388">
          <cell r="A388">
            <v>387</v>
          </cell>
          <cell r="D388">
            <v>522</v>
          </cell>
          <cell r="E388" t="str">
            <v>ESTORNO REF.</v>
          </cell>
        </row>
        <row r="389">
          <cell r="A389">
            <v>388</v>
          </cell>
          <cell r="D389">
            <v>523</v>
          </cell>
          <cell r="E389" t="str">
            <v>TRANSF.P/AJUSTE ENTRE CONTAS</v>
          </cell>
        </row>
        <row r="390">
          <cell r="A390">
            <v>389</v>
          </cell>
          <cell r="D390">
            <v>524</v>
          </cell>
          <cell r="E390" t="str">
            <v>TRANSF. ENTRE CONTAS BANCARIAS</v>
          </cell>
        </row>
        <row r="391">
          <cell r="A391">
            <v>390</v>
          </cell>
          <cell r="D391">
            <v>525</v>
          </cell>
          <cell r="E391" t="str">
            <v>TRANSF. ENTRE BANCOS</v>
          </cell>
        </row>
        <row r="392">
          <cell r="A392">
            <v>391</v>
          </cell>
          <cell r="D392">
            <v>526</v>
          </cell>
          <cell r="E392" t="str">
            <v>VENDA CONF. ADIANTAMENTO NO MES</v>
          </cell>
        </row>
        <row r="393">
          <cell r="A393">
            <v>392</v>
          </cell>
          <cell r="D393">
            <v>527</v>
          </cell>
          <cell r="E393" t="str">
            <v>TRANSF.P/CONTA PREJUIZO ACUM.</v>
          </cell>
        </row>
        <row r="394">
          <cell r="A394">
            <v>393</v>
          </cell>
          <cell r="D394">
            <v>528</v>
          </cell>
          <cell r="E394" t="str">
            <v>PROVISÁO REF.</v>
          </cell>
        </row>
        <row r="395">
          <cell r="A395">
            <v>394</v>
          </cell>
          <cell r="D395">
            <v>529</v>
          </cell>
          <cell r="E395" t="str">
            <v>TRANSF. ADIANT. CONF. DUPL.</v>
          </cell>
        </row>
        <row r="396">
          <cell r="A396">
            <v>395</v>
          </cell>
          <cell r="D396">
            <v>530</v>
          </cell>
          <cell r="E396" t="str">
            <v>COMISSÁO REDCARD</v>
          </cell>
        </row>
        <row r="397">
          <cell r="A397">
            <v>396</v>
          </cell>
          <cell r="D397">
            <v>531</v>
          </cell>
          <cell r="E397" t="str">
            <v>COMISSÁO VISA</v>
          </cell>
        </row>
        <row r="398">
          <cell r="A398">
            <v>397</v>
          </cell>
          <cell r="D398">
            <v>532</v>
          </cell>
          <cell r="E398" t="str">
            <v>SUPRIMENTO DE CAIXA</v>
          </cell>
        </row>
        <row r="399">
          <cell r="A399">
            <v>398</v>
          </cell>
          <cell r="D399">
            <v>533</v>
          </cell>
          <cell r="E399" t="str">
            <v>VR. REF.RECALCULO DE GUIAS CF.COMPROVANT</v>
          </cell>
        </row>
        <row r="400">
          <cell r="A400">
            <v>399</v>
          </cell>
          <cell r="D400">
            <v>539</v>
          </cell>
          <cell r="E400" t="str">
            <v>PAGTO. SEGURO EMPRESARIAL CF.COMPROV.</v>
          </cell>
        </row>
        <row r="401">
          <cell r="A401">
            <v>400</v>
          </cell>
          <cell r="D401">
            <v>540</v>
          </cell>
          <cell r="E401" t="str">
            <v>DESPESAS COM CONDUÇÄO CF.COMPROVANTE</v>
          </cell>
        </row>
        <row r="402">
          <cell r="A402">
            <v>401</v>
          </cell>
          <cell r="D402">
            <v>541</v>
          </cell>
          <cell r="E402" t="str">
            <v>DESPESAS C/ REFEIÇÁO CF.COMPROVANTE</v>
          </cell>
        </row>
        <row r="403">
          <cell r="A403">
            <v>402</v>
          </cell>
          <cell r="D403">
            <v>542</v>
          </cell>
          <cell r="E403" t="str">
            <v>DESPESAS C/ CORREIOS CF.COMPROVANTE</v>
          </cell>
        </row>
        <row r="404">
          <cell r="A404">
            <v>403</v>
          </cell>
          <cell r="D404">
            <v>544</v>
          </cell>
          <cell r="E404" t="str">
            <v>INSS RETI DO S/ FATURAMENTO DO MES</v>
          </cell>
        </row>
        <row r="405">
          <cell r="A405">
            <v>404</v>
          </cell>
          <cell r="D405">
            <v>546</v>
          </cell>
          <cell r="E405" t="str">
            <v>CONSTITUIÇÁO DE RESERVA LEGAL REF. EX.</v>
          </cell>
        </row>
        <row r="406">
          <cell r="A406">
            <v>405</v>
          </cell>
          <cell r="D406">
            <v>551</v>
          </cell>
          <cell r="E406" t="str">
            <v>DESPS. C/PEOAGIO CF. COMPROVANTE</v>
          </cell>
        </row>
        <row r="407">
          <cell r="A407">
            <v>406</v>
          </cell>
          <cell r="D407">
            <v>563</v>
          </cell>
          <cell r="E407" t="str">
            <v>PARCELAMENTO REF.</v>
          </cell>
        </row>
        <row r="408">
          <cell r="A408">
            <v>407</v>
          </cell>
          <cell r="D408">
            <v>564</v>
          </cell>
          <cell r="E408" t="str">
            <v>PGTO. REF. PARCELAMENTO</v>
          </cell>
        </row>
        <row r="409">
          <cell r="A409">
            <v>408</v>
          </cell>
          <cell r="D409">
            <v>574</v>
          </cell>
          <cell r="E409" t="str">
            <v>COMISSÁO AMEX</v>
          </cell>
        </row>
        <row r="410">
          <cell r="A410">
            <v>409</v>
          </cell>
          <cell r="D410">
            <v>583</v>
          </cell>
          <cell r="E410" t="str">
            <v>VALOR REF.</v>
          </cell>
        </row>
        <row r="411">
          <cell r="A411">
            <v>410</v>
          </cell>
          <cell r="D411">
            <v>584</v>
          </cell>
          <cell r="E411" t="str">
            <v>RECEITAS C/ LOCAÇÄO CF. NFS</v>
          </cell>
        </row>
        <row r="412">
          <cell r="A412">
            <v>411</v>
          </cell>
          <cell r="D412">
            <v>585</v>
          </cell>
          <cell r="E412" t="str">
            <v>IPI S/COMPRAS DO MES</v>
          </cell>
        </row>
        <row r="413">
          <cell r="A413">
            <v>412</v>
          </cell>
          <cell r="D413">
            <v>586</v>
          </cell>
          <cell r="E413" t="str">
            <v>IPI SNENOAS NO MES</v>
          </cell>
        </row>
        <row r="414">
          <cell r="A414">
            <v>413</v>
          </cell>
          <cell r="D414">
            <v>587</v>
          </cell>
          <cell r="E414" t="str">
            <v>IPI S/COMPRAS DEVOLVIDAS NO MES</v>
          </cell>
        </row>
        <row r="415">
          <cell r="A415">
            <v>414</v>
          </cell>
          <cell r="D415">
            <v>588</v>
          </cell>
          <cell r="E415" t="str">
            <v>IPI A RECOLHER NO MES</v>
          </cell>
        </row>
        <row r="416">
          <cell r="A416">
            <v>415</v>
          </cell>
          <cell r="D416">
            <v>589</v>
          </cell>
          <cell r="E416" t="str">
            <v>EST REF MAJORAÇÄO BASE DE CALC. ICMS</v>
          </cell>
        </row>
        <row r="417">
          <cell r="A417">
            <v>416</v>
          </cell>
          <cell r="D417">
            <v>590</v>
          </cell>
          <cell r="E417" t="str">
            <v>IMPLANTAÇÄO DE SALDO</v>
          </cell>
        </row>
        <row r="418">
          <cell r="A418">
            <v>417</v>
          </cell>
          <cell r="D418">
            <v>900</v>
          </cell>
          <cell r="E418" t="str">
            <v>CONTR. SAÚDE DESC. C/FOLHA</v>
          </cell>
        </row>
        <row r="419">
          <cell r="A419">
            <v>418</v>
          </cell>
          <cell r="D419">
            <v>901</v>
          </cell>
          <cell r="E419" t="str">
            <v>PAGTO CONTR.SAÚDE REF.</v>
          </cell>
        </row>
        <row r="420">
          <cell r="A420">
            <v>419</v>
          </cell>
          <cell r="D420">
            <v>987</v>
          </cell>
          <cell r="E420" t="str">
            <v>PAGTO REF.</v>
          </cell>
        </row>
        <row r="421">
          <cell r="A421">
            <v>420</v>
          </cell>
          <cell r="D421">
            <v>998</v>
          </cell>
          <cell r="E421" t="str">
            <v>PENSÄO ALIMENTÍCIA CF. FOLHA</v>
          </cell>
        </row>
        <row r="422">
          <cell r="A422">
            <v>421</v>
          </cell>
          <cell r="D422">
            <v>999</v>
          </cell>
          <cell r="E422" t="str">
            <v>DIA DO COMERCIARIO CF.FOLHA</v>
          </cell>
        </row>
        <row r="423">
          <cell r="A423">
            <v>422</v>
          </cell>
          <cell r="D423" t="str">
            <v>1 OOO</v>
          </cell>
          <cell r="E423" t="str">
            <v>DEB.APLICAÇÄO. BB CURTO PRAZO AUT*</v>
          </cell>
        </row>
        <row r="424">
          <cell r="A424">
            <v>423</v>
          </cell>
          <cell r="D424">
            <v>1001</v>
          </cell>
          <cell r="E424" t="str">
            <v>CREO. RESGATE APL. BB CURTO PRAZO AUT*</v>
          </cell>
        </row>
        <row r="425">
          <cell r="A425">
            <v>424</v>
          </cell>
          <cell r="D425">
            <v>1002</v>
          </cell>
          <cell r="E425" t="str">
            <v>PGTO DESP C/ INTERNET - FAT. Nº</v>
          </cell>
        </row>
        <row r="426">
          <cell r="A426">
            <v>425</v>
          </cell>
          <cell r="D426">
            <v>1003</v>
          </cell>
          <cell r="E426" t="str">
            <v>RESCISÁO TRABALHISTA CF. FOLHA</v>
          </cell>
        </row>
        <row r="427">
          <cell r="A427">
            <v>426</v>
          </cell>
          <cell r="D427">
            <v>1004</v>
          </cell>
          <cell r="E427" t="str">
            <v>COMPRA COM CARTÁO*</v>
          </cell>
        </row>
        <row r="428">
          <cell r="A428">
            <v>427</v>
          </cell>
          <cell r="D428">
            <v>1005</v>
          </cell>
          <cell r="E428" t="str">
            <v>PGTO GRRF GUIA DE REC. RESCISÓRIO</v>
          </cell>
        </row>
        <row r="429">
          <cell r="A429">
            <v>428</v>
          </cell>
          <cell r="D429">
            <v>1006</v>
          </cell>
          <cell r="E429" t="str">
            <v>RSHOP -</v>
          </cell>
        </row>
        <row r="430">
          <cell r="A430">
            <v>429</v>
          </cell>
          <cell r="D430">
            <v>1007</v>
          </cell>
          <cell r="E430" t="str">
            <v>PGTO. COT Nº</v>
          </cell>
        </row>
        <row r="431">
          <cell r="A431">
            <v>430</v>
          </cell>
          <cell r="D431">
            <v>1008</v>
          </cell>
          <cell r="E431" t="str">
            <v>DESC/ABTMT DE ABST SOBRE COT Nº</v>
          </cell>
        </row>
        <row r="432">
          <cell r="A432">
            <v>431</v>
          </cell>
          <cell r="D432">
            <v>1009</v>
          </cell>
          <cell r="E432" t="str">
            <v>ADICIONAL NOTURNO CFM. FOLHA</v>
          </cell>
        </row>
        <row r="433">
          <cell r="A433">
            <v>432</v>
          </cell>
          <cell r="D433">
            <v>1010</v>
          </cell>
          <cell r="E433" t="str">
            <v>PAGTO IRRF S/ FÉRIAS REF.</v>
          </cell>
        </row>
        <row r="434">
          <cell r="A434">
            <v>433</v>
          </cell>
          <cell r="D434">
            <v>1011</v>
          </cell>
          <cell r="E434" t="str">
            <v>PAGTO. PENSÄO ALIMENTÍCIA REF.</v>
          </cell>
        </row>
        <row r="435">
          <cell r="A435">
            <v>434</v>
          </cell>
          <cell r="D435">
            <v>1012</v>
          </cell>
          <cell r="E435" t="str">
            <v>PGTO DE EMPRÉSTIMOS CONSGNAOOS N/MÊS</v>
          </cell>
        </row>
        <row r="436">
          <cell r="A436">
            <v>435</v>
          </cell>
          <cell r="D436">
            <v>1013</v>
          </cell>
          <cell r="E436" t="str">
            <v>EMPRÉSTIMOS CONSIGNADOS N/MÊS</v>
          </cell>
        </row>
        <row r="437">
          <cell r="A437">
            <v>436</v>
          </cell>
          <cell r="D437">
            <v>1030</v>
          </cell>
          <cell r="E437" t="str">
            <v>PAGTO IRRF S/ RESCISÁO REF.</v>
          </cell>
        </row>
        <row r="438">
          <cell r="A438">
            <v>437</v>
          </cell>
          <cell r="D438">
            <v>1080</v>
          </cell>
          <cell r="E438" t="str">
            <v>VALOR REF. DESCONTO DE FÉRIAS P/ FUNC:</v>
          </cell>
        </row>
        <row r="439">
          <cell r="A439">
            <v>438</v>
          </cell>
          <cell r="D439">
            <v>1081</v>
          </cell>
          <cell r="E439" t="str">
            <v>VALOR REF. DESCONTO DE RESCISÁO P/ FUNC:</v>
          </cell>
        </row>
        <row r="440">
          <cell r="A440">
            <v>439</v>
          </cell>
          <cell r="D440">
            <v>1500</v>
          </cell>
          <cell r="E440" t="str">
            <v>DESCONTO OBTIDO SOBRE</v>
          </cell>
        </row>
        <row r="441">
          <cell r="A441">
            <v>440</v>
          </cell>
          <cell r="D441">
            <v>1501</v>
          </cell>
          <cell r="E441" t="str">
            <v>DIA DA FOTOGRAFIA CONF. FOHA</v>
          </cell>
        </row>
        <row r="442">
          <cell r="A442">
            <v>441</v>
          </cell>
          <cell r="D442">
            <v>1502</v>
          </cell>
          <cell r="E442" t="str">
            <v>ZERAMENTO PARA CANCELAMENTO DA EMPRESA</v>
          </cell>
        </row>
        <row r="443">
          <cell r="A443">
            <v>442</v>
          </cell>
          <cell r="D443">
            <v>1503</v>
          </cell>
          <cell r="E443" t="str">
            <v>ENTRADA DE MERCADORIA PARA ARMAZENAGEM</v>
          </cell>
        </row>
        <row r="444">
          <cell r="A444">
            <v>443</v>
          </cell>
          <cell r="D444">
            <v>1504</v>
          </cell>
          <cell r="E444" t="str">
            <v>SAÍDA DE MERCADORIA DE ARMAZENAGEM</v>
          </cell>
        </row>
        <row r="445">
          <cell r="A445">
            <v>444</v>
          </cell>
          <cell r="D445">
            <v>1505</v>
          </cell>
          <cell r="E445" t="str">
            <v>CRÉDITO DE ICMS S/ATIVO IMOBILIZADO</v>
          </cell>
        </row>
        <row r="446">
          <cell r="A446">
            <v>445</v>
          </cell>
          <cell r="D446">
            <v>1552</v>
          </cell>
          <cell r="E446" t="str">
            <v>VALOR SALARIOS CF FOLHA PAGTO MES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trato itau (2)"/>
    </sheetNames>
    <sheetDataSet>
      <sheetData sheetId="0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0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0</v>
          </cell>
          <cell r="B5" t="str">
            <v>Nome:</v>
          </cell>
          <cell r="C5">
            <v>0</v>
          </cell>
          <cell r="D5">
            <v>0</v>
          </cell>
          <cell r="E5" t="str">
            <v>CENTERLAR COMERCIO U LTDA</v>
          </cell>
          <cell r="F5" t="str">
            <v>Agência/Conta:</v>
          </cell>
          <cell r="G5" t="str">
            <v>7649/ 11199-9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0</v>
          </cell>
          <cell r="B7" t="str">
            <v>Data:</v>
          </cell>
          <cell r="C7">
            <v>0</v>
          </cell>
          <cell r="D7">
            <v>0</v>
          </cell>
          <cell r="E7" t="str">
            <v>04/05/2016  </v>
          </cell>
          <cell r="F7" t="str">
            <v>Horário:</v>
          </cell>
          <cell r="G7" t="str">
            <v>17:46:19h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0</v>
          </cell>
          <cell r="B9" t="str">
            <v>Extrato de Conta Corrente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 t="str">
            <v>01/04/2016 a 30/04/2016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0</v>
          </cell>
          <cell r="B11" t="str">
            <v>Data</v>
          </cell>
          <cell r="C11">
            <v>0</v>
          </cell>
          <cell r="D11">
            <v>0</v>
          </cell>
          <cell r="E11" t="str">
            <v>Lançamento</v>
          </cell>
          <cell r="F11" t="str">
            <v>Valor (R$)</v>
          </cell>
          <cell r="G11" t="str">
            <v>Saldo (R$)</v>
          </cell>
        </row>
        <row r="12">
          <cell r="A12">
            <v>1</v>
          </cell>
          <cell r="B12" t="str">
            <v>31/03  </v>
          </cell>
          <cell r="C12">
            <v>0</v>
          </cell>
          <cell r="D12">
            <v>0</v>
          </cell>
          <cell r="E12" t="str">
            <v>SALDO ANTERIOR</v>
          </cell>
          <cell r="F12">
            <v>0</v>
          </cell>
          <cell r="G12">
            <v>10</v>
          </cell>
        </row>
        <row r="13">
          <cell r="A13">
            <v>2</v>
          </cell>
          <cell r="B13" t="str">
            <v>01/04  </v>
          </cell>
          <cell r="C13">
            <v>0</v>
          </cell>
          <cell r="D13">
            <v>0</v>
          </cell>
          <cell r="E13" t="str">
            <v>SISPAG TRIBUTOS</v>
          </cell>
          <cell r="F13">
            <v>-6489.75</v>
          </cell>
          <cell r="G13">
            <v>0</v>
          </cell>
        </row>
        <row r="14">
          <cell r="A14">
            <v>3</v>
          </cell>
          <cell r="B14" t="str">
            <v>01/04  </v>
          </cell>
          <cell r="C14">
            <v>0</v>
          </cell>
          <cell r="D14">
            <v>0</v>
          </cell>
          <cell r="E14" t="str">
            <v>SISPAG FORNECEDORES</v>
          </cell>
          <cell r="F14">
            <v>-64854.8</v>
          </cell>
          <cell r="G14">
            <v>0</v>
          </cell>
        </row>
        <row r="15">
          <cell r="A15">
            <v>4</v>
          </cell>
          <cell r="B15" t="str">
            <v>01/04  </v>
          </cell>
          <cell r="C15">
            <v>0</v>
          </cell>
          <cell r="D15">
            <v>0</v>
          </cell>
          <cell r="E15" t="str">
            <v>SISPAG FORNECEDORES</v>
          </cell>
          <cell r="F15">
            <v>-1673.8</v>
          </cell>
          <cell r="G15">
            <v>0</v>
          </cell>
        </row>
        <row r="16">
          <cell r="A16">
            <v>5</v>
          </cell>
          <cell r="B16" t="str">
            <v>01/04  </v>
          </cell>
          <cell r="C16" t="str">
            <v>D</v>
          </cell>
          <cell r="D16">
            <v>0</v>
          </cell>
          <cell r="E16" t="str">
            <v>SISPAG FORNECEDORES</v>
          </cell>
          <cell r="F16">
            <v>-187</v>
          </cell>
          <cell r="G16">
            <v>0</v>
          </cell>
        </row>
        <row r="17">
          <cell r="A17">
            <v>6</v>
          </cell>
          <cell r="B17" t="str">
            <v>01/04  </v>
          </cell>
          <cell r="C17">
            <v>0</v>
          </cell>
          <cell r="D17">
            <v>0</v>
          </cell>
          <cell r="E17" t="str">
            <v>SISPAG FORNECEDORES TED</v>
          </cell>
          <cell r="F17">
            <v>-156425.28</v>
          </cell>
          <cell r="G17">
            <v>0</v>
          </cell>
        </row>
        <row r="18">
          <cell r="A18">
            <v>7</v>
          </cell>
          <cell r="B18" t="str">
            <v>01/04  </v>
          </cell>
          <cell r="C18" t="str">
            <v>D</v>
          </cell>
          <cell r="D18">
            <v>0</v>
          </cell>
          <cell r="E18" t="str">
            <v>SISPAG FORNECEDORES</v>
          </cell>
          <cell r="F18">
            <v>-115769.55</v>
          </cell>
          <cell r="G18">
            <v>0</v>
          </cell>
        </row>
        <row r="19">
          <cell r="A19">
            <v>8</v>
          </cell>
          <cell r="B19" t="str">
            <v>01/04  </v>
          </cell>
          <cell r="C19">
            <v>0</v>
          </cell>
          <cell r="D19">
            <v>0</v>
          </cell>
          <cell r="E19" t="str">
            <v>COLETA DIN</v>
          </cell>
          <cell r="F19">
            <v>83000</v>
          </cell>
          <cell r="G19">
            <v>0</v>
          </cell>
        </row>
        <row r="20">
          <cell r="A20">
            <v>9</v>
          </cell>
          <cell r="B20" t="str">
            <v>01/04  </v>
          </cell>
          <cell r="C20">
            <v>0</v>
          </cell>
          <cell r="D20">
            <v>0</v>
          </cell>
          <cell r="E20" t="str">
            <v>TRANSF 7649.14595-5</v>
          </cell>
          <cell r="F20">
            <v>1449.14</v>
          </cell>
          <cell r="G20">
            <v>0</v>
          </cell>
        </row>
        <row r="21">
          <cell r="A21">
            <v>10</v>
          </cell>
          <cell r="B21" t="str">
            <v>01/04  </v>
          </cell>
          <cell r="C21">
            <v>0</v>
          </cell>
          <cell r="D21">
            <v>0</v>
          </cell>
          <cell r="E21" t="str">
            <v>TRANSF 7649.23054-2</v>
          </cell>
          <cell r="F21">
            <v>145601.37</v>
          </cell>
          <cell r="G21">
            <v>0</v>
          </cell>
        </row>
        <row r="22">
          <cell r="A22">
            <v>11</v>
          </cell>
          <cell r="B22" t="str">
            <v>01/04  </v>
          </cell>
          <cell r="C22">
            <v>0</v>
          </cell>
          <cell r="D22">
            <v>0</v>
          </cell>
          <cell r="E22" t="str">
            <v>REND PAGO APLIC AUT MAIS</v>
          </cell>
          <cell r="F22">
            <v>7.24</v>
          </cell>
          <cell r="G22">
            <v>0</v>
          </cell>
        </row>
        <row r="23">
          <cell r="A23">
            <v>12</v>
          </cell>
          <cell r="B23" t="str">
            <v>01/04  </v>
          </cell>
          <cell r="C23">
            <v>0</v>
          </cell>
          <cell r="D23">
            <v>0</v>
          </cell>
          <cell r="E23" t="str">
            <v>SDO CTA/APL AUTOMATICAS</v>
          </cell>
          <cell r="F23">
            <v>0</v>
          </cell>
          <cell r="G23">
            <v>966866.68</v>
          </cell>
        </row>
        <row r="24">
          <cell r="A24">
            <v>13</v>
          </cell>
          <cell r="B24" t="str">
            <v>04/04  </v>
          </cell>
          <cell r="C24">
            <v>0</v>
          </cell>
          <cell r="D24">
            <v>0</v>
          </cell>
          <cell r="E24" t="str">
            <v>SISPAG TRIBUTOS</v>
          </cell>
          <cell r="F24">
            <v>-198.37</v>
          </cell>
          <cell r="G24">
            <v>0</v>
          </cell>
        </row>
        <row r="25">
          <cell r="A25">
            <v>14</v>
          </cell>
          <cell r="B25" t="str">
            <v>04/04  </v>
          </cell>
          <cell r="C25">
            <v>0</v>
          </cell>
          <cell r="D25">
            <v>0</v>
          </cell>
          <cell r="E25" t="str">
            <v>SISPAG FORNECEDORES</v>
          </cell>
          <cell r="F25">
            <v>-68.099999999999994</v>
          </cell>
          <cell r="G25">
            <v>0</v>
          </cell>
        </row>
        <row r="26">
          <cell r="A26">
            <v>15</v>
          </cell>
          <cell r="B26" t="str">
            <v>04/04  </v>
          </cell>
          <cell r="C26">
            <v>0</v>
          </cell>
          <cell r="D26">
            <v>0</v>
          </cell>
          <cell r="E26" t="str">
            <v>SISPAG FORNECEDORES</v>
          </cell>
          <cell r="F26">
            <v>-191642.95</v>
          </cell>
          <cell r="G26">
            <v>0</v>
          </cell>
        </row>
        <row r="27">
          <cell r="A27">
            <v>16</v>
          </cell>
          <cell r="B27" t="str">
            <v>04/04  </v>
          </cell>
          <cell r="C27">
            <v>0</v>
          </cell>
          <cell r="D27">
            <v>0</v>
          </cell>
          <cell r="E27" t="str">
            <v>SISPAG FORNECEDORES TED</v>
          </cell>
          <cell r="F27">
            <v>-4300</v>
          </cell>
          <cell r="G27">
            <v>0</v>
          </cell>
        </row>
        <row r="28">
          <cell r="A28">
            <v>17</v>
          </cell>
          <cell r="B28" t="str">
            <v>04/04  </v>
          </cell>
          <cell r="C28" t="str">
            <v>D</v>
          </cell>
          <cell r="D28">
            <v>0</v>
          </cell>
          <cell r="E28" t="str">
            <v>SISPAG FORNECEDORES</v>
          </cell>
          <cell r="F28">
            <v>-212428.63</v>
          </cell>
          <cell r="G28">
            <v>0</v>
          </cell>
        </row>
        <row r="29">
          <cell r="A29">
            <v>18</v>
          </cell>
          <cell r="B29" t="str">
            <v>04/04  </v>
          </cell>
          <cell r="C29">
            <v>0</v>
          </cell>
          <cell r="D29">
            <v>0</v>
          </cell>
          <cell r="E29" t="str">
            <v>COLETA DIN</v>
          </cell>
          <cell r="F29">
            <v>33000</v>
          </cell>
          <cell r="G29">
            <v>0</v>
          </cell>
        </row>
        <row r="30">
          <cell r="A30">
            <v>19</v>
          </cell>
          <cell r="B30" t="str">
            <v>04/04  </v>
          </cell>
          <cell r="C30">
            <v>0</v>
          </cell>
          <cell r="D30">
            <v>0</v>
          </cell>
          <cell r="E30" t="str">
            <v>COLETA DIN</v>
          </cell>
          <cell r="F30">
            <v>95000</v>
          </cell>
          <cell r="G30">
            <v>0</v>
          </cell>
        </row>
        <row r="31">
          <cell r="A31">
            <v>20</v>
          </cell>
          <cell r="B31" t="str">
            <v>04/04  </v>
          </cell>
          <cell r="C31">
            <v>0</v>
          </cell>
          <cell r="D31">
            <v>0</v>
          </cell>
          <cell r="E31" t="str">
            <v>TRANSF 7649.14595-5</v>
          </cell>
          <cell r="F31">
            <v>11051.59</v>
          </cell>
          <cell r="G31">
            <v>0</v>
          </cell>
        </row>
        <row r="32">
          <cell r="A32">
            <v>21</v>
          </cell>
          <cell r="B32" t="str">
            <v>04/04  </v>
          </cell>
          <cell r="C32">
            <v>0</v>
          </cell>
          <cell r="D32">
            <v>0</v>
          </cell>
          <cell r="E32" t="str">
            <v>TRANSF 7649.23054-2</v>
          </cell>
          <cell r="F32">
            <v>638.16999999999996</v>
          </cell>
          <cell r="G32">
            <v>0</v>
          </cell>
        </row>
        <row r="33">
          <cell r="A33">
            <v>22</v>
          </cell>
          <cell r="B33" t="str">
            <v>04/04  </v>
          </cell>
          <cell r="C33">
            <v>0</v>
          </cell>
          <cell r="D33">
            <v>0</v>
          </cell>
          <cell r="E33" t="str">
            <v>TRANSF 7649.23054-2</v>
          </cell>
          <cell r="F33">
            <v>537703.04</v>
          </cell>
          <cell r="G33">
            <v>0</v>
          </cell>
        </row>
        <row r="34">
          <cell r="A34">
            <v>23</v>
          </cell>
          <cell r="B34" t="str">
            <v>04/04  </v>
          </cell>
          <cell r="C34" t="str">
            <v>C</v>
          </cell>
          <cell r="D34">
            <v>0</v>
          </cell>
          <cell r="E34" t="str">
            <v>MOV TIT COBRANCA 04/04S</v>
          </cell>
          <cell r="F34">
            <v>638</v>
          </cell>
          <cell r="G34">
            <v>0</v>
          </cell>
        </row>
        <row r="35">
          <cell r="A35">
            <v>24</v>
          </cell>
          <cell r="B35" t="str">
            <v>04/04  </v>
          </cell>
          <cell r="C35">
            <v>0</v>
          </cell>
          <cell r="D35">
            <v>0</v>
          </cell>
          <cell r="E35" t="str">
            <v>SDO CTA/APL AUTOMATICAS</v>
          </cell>
          <cell r="F35">
            <v>0</v>
          </cell>
          <cell r="G35">
            <v>1236259.43</v>
          </cell>
        </row>
        <row r="36">
          <cell r="A36">
            <v>25</v>
          </cell>
          <cell r="B36" t="str">
            <v>04/04  </v>
          </cell>
          <cell r="C36">
            <v>0</v>
          </cell>
          <cell r="D36">
            <v>0</v>
          </cell>
          <cell r="E36" t="str">
            <v>(-) SALDO A LIBERAR</v>
          </cell>
          <cell r="F36">
            <v>0</v>
          </cell>
          <cell r="G36">
            <v>638</v>
          </cell>
        </row>
        <row r="37">
          <cell r="A37">
            <v>26</v>
          </cell>
          <cell r="B37" t="str">
            <v>04/04  </v>
          </cell>
          <cell r="C37">
            <v>0</v>
          </cell>
          <cell r="D37">
            <v>0</v>
          </cell>
          <cell r="E37" t="str">
            <v>SALDO FINAL DISPONIVEL</v>
          </cell>
          <cell r="F37">
            <v>0</v>
          </cell>
          <cell r="G37">
            <v>1235621.43</v>
          </cell>
        </row>
        <row r="38">
          <cell r="A38">
            <v>27</v>
          </cell>
          <cell r="B38" t="str">
            <v>05/04  </v>
          </cell>
          <cell r="C38">
            <v>0</v>
          </cell>
          <cell r="D38">
            <v>0</v>
          </cell>
          <cell r="E38" t="str">
            <v>SISPAG TRIBUTOS</v>
          </cell>
          <cell r="F38">
            <v>-7571.96</v>
          </cell>
          <cell r="G38">
            <v>0</v>
          </cell>
        </row>
        <row r="39">
          <cell r="A39">
            <v>28</v>
          </cell>
          <cell r="B39" t="str">
            <v>05/04  </v>
          </cell>
          <cell r="C39">
            <v>0</v>
          </cell>
          <cell r="D39">
            <v>0</v>
          </cell>
          <cell r="E39" t="str">
            <v>SISPAG FORNECEDORES</v>
          </cell>
          <cell r="F39">
            <v>-130375.4</v>
          </cell>
          <cell r="G39">
            <v>0</v>
          </cell>
        </row>
        <row r="40">
          <cell r="A40">
            <v>29</v>
          </cell>
          <cell r="B40" t="str">
            <v>05/04  </v>
          </cell>
          <cell r="C40">
            <v>0</v>
          </cell>
          <cell r="D40">
            <v>0</v>
          </cell>
          <cell r="E40" t="str">
            <v>SISPAG FORNECEDORES</v>
          </cell>
          <cell r="F40">
            <v>-4562.9399999999996</v>
          </cell>
          <cell r="G40">
            <v>0</v>
          </cell>
        </row>
        <row r="41">
          <cell r="A41">
            <v>30</v>
          </cell>
          <cell r="B41" t="str">
            <v>05/04  </v>
          </cell>
          <cell r="C41">
            <v>0</v>
          </cell>
          <cell r="D41">
            <v>0</v>
          </cell>
          <cell r="E41" t="str">
            <v>SISPAG FORNECEDORES</v>
          </cell>
          <cell r="F41">
            <v>-6067.43</v>
          </cell>
          <cell r="G41">
            <v>0</v>
          </cell>
        </row>
        <row r="42">
          <cell r="A42">
            <v>31</v>
          </cell>
          <cell r="B42" t="str">
            <v>05/04  </v>
          </cell>
          <cell r="C42">
            <v>0</v>
          </cell>
          <cell r="D42">
            <v>0</v>
          </cell>
          <cell r="E42" t="str">
            <v>SISPAG FORNECEDORES TED</v>
          </cell>
          <cell r="F42">
            <v>-6084.72</v>
          </cell>
          <cell r="G42">
            <v>0</v>
          </cell>
        </row>
        <row r="43">
          <cell r="A43">
            <v>32</v>
          </cell>
          <cell r="B43" t="str">
            <v>05/04  </v>
          </cell>
          <cell r="C43" t="str">
            <v>D</v>
          </cell>
          <cell r="D43">
            <v>0</v>
          </cell>
          <cell r="E43" t="str">
            <v>SISPAG FORNECEDORES</v>
          </cell>
          <cell r="F43">
            <v>-167143.23000000001</v>
          </cell>
          <cell r="G43">
            <v>0</v>
          </cell>
        </row>
        <row r="44">
          <cell r="A44">
            <v>33</v>
          </cell>
          <cell r="B44" t="str">
            <v>05/04  </v>
          </cell>
          <cell r="C44">
            <v>0</v>
          </cell>
          <cell r="D44">
            <v>0</v>
          </cell>
          <cell r="E44" t="str">
            <v>COLETA DIN</v>
          </cell>
          <cell r="F44">
            <v>35000</v>
          </cell>
          <cell r="G44">
            <v>0</v>
          </cell>
        </row>
        <row r="45">
          <cell r="A45">
            <v>34</v>
          </cell>
          <cell r="B45" t="str">
            <v>05/04  </v>
          </cell>
          <cell r="C45">
            <v>0</v>
          </cell>
          <cell r="D45">
            <v>0</v>
          </cell>
          <cell r="E45" t="str">
            <v>TBI 2131.13610-9 C/C</v>
          </cell>
          <cell r="F45">
            <v>50.44</v>
          </cell>
          <cell r="G45">
            <v>0</v>
          </cell>
        </row>
        <row r="46">
          <cell r="A46">
            <v>35</v>
          </cell>
          <cell r="B46" t="str">
            <v>05/04  </v>
          </cell>
          <cell r="C46">
            <v>0</v>
          </cell>
          <cell r="D46">
            <v>0</v>
          </cell>
          <cell r="E46" t="str">
            <v>TRANSF 7649.14595-5</v>
          </cell>
          <cell r="F46">
            <v>3857.52</v>
          </cell>
          <cell r="G46">
            <v>0</v>
          </cell>
        </row>
        <row r="47">
          <cell r="A47">
            <v>36</v>
          </cell>
          <cell r="B47" t="str">
            <v>05/04  </v>
          </cell>
          <cell r="C47">
            <v>0</v>
          </cell>
          <cell r="D47">
            <v>0</v>
          </cell>
          <cell r="E47" t="str">
            <v>TRANSF 7649.23054-2</v>
          </cell>
          <cell r="F47">
            <v>575.19000000000005</v>
          </cell>
          <cell r="G47">
            <v>0</v>
          </cell>
        </row>
        <row r="48">
          <cell r="A48">
            <v>37</v>
          </cell>
          <cell r="B48" t="str">
            <v>05/04  </v>
          </cell>
          <cell r="C48">
            <v>0</v>
          </cell>
          <cell r="D48">
            <v>0</v>
          </cell>
          <cell r="E48" t="str">
            <v>TRANSF 7649.23054-2</v>
          </cell>
          <cell r="F48">
            <v>130213.32</v>
          </cell>
          <cell r="G48">
            <v>0</v>
          </cell>
        </row>
        <row r="49">
          <cell r="A49">
            <v>38</v>
          </cell>
          <cell r="B49" t="str">
            <v>05/04  </v>
          </cell>
          <cell r="C49" t="str">
            <v>C</v>
          </cell>
          <cell r="D49">
            <v>0</v>
          </cell>
          <cell r="E49" t="str">
            <v>MOV TIT COBRANCA 05/04S</v>
          </cell>
          <cell r="F49">
            <v>13128.11</v>
          </cell>
          <cell r="G49">
            <v>0</v>
          </cell>
        </row>
        <row r="50">
          <cell r="A50">
            <v>39</v>
          </cell>
          <cell r="B50" t="str">
            <v>05/04  </v>
          </cell>
          <cell r="C50">
            <v>0</v>
          </cell>
          <cell r="D50">
            <v>0</v>
          </cell>
          <cell r="E50" t="str">
            <v>REND PAGO APLIC AUT MAIS</v>
          </cell>
          <cell r="F50">
            <v>9.65</v>
          </cell>
          <cell r="G50">
            <v>0</v>
          </cell>
        </row>
        <row r="51">
          <cell r="A51">
            <v>40</v>
          </cell>
          <cell r="B51" t="str">
            <v>05/04  </v>
          </cell>
          <cell r="C51">
            <v>0</v>
          </cell>
          <cell r="D51">
            <v>0</v>
          </cell>
          <cell r="E51" t="str">
            <v>SDO CTA/APL AUTOMATICAS</v>
          </cell>
          <cell r="F51">
            <v>0</v>
          </cell>
          <cell r="G51">
            <v>1097287.98</v>
          </cell>
        </row>
        <row r="52">
          <cell r="A52">
            <v>41</v>
          </cell>
          <cell r="B52" t="str">
            <v>05/04  </v>
          </cell>
          <cell r="C52">
            <v>0</v>
          </cell>
          <cell r="D52">
            <v>0</v>
          </cell>
          <cell r="E52" t="str">
            <v>(-) SALDO A LIBERAR</v>
          </cell>
          <cell r="F52">
            <v>0</v>
          </cell>
          <cell r="G52">
            <v>13128.11</v>
          </cell>
        </row>
        <row r="53">
          <cell r="A53">
            <v>42</v>
          </cell>
          <cell r="B53" t="str">
            <v>05/04  </v>
          </cell>
          <cell r="C53">
            <v>0</v>
          </cell>
          <cell r="D53">
            <v>0</v>
          </cell>
          <cell r="E53" t="str">
            <v>SALDO FINAL DISPONIVEL</v>
          </cell>
          <cell r="F53">
            <v>0</v>
          </cell>
          <cell r="G53">
            <v>1084159.8700000001</v>
          </cell>
        </row>
        <row r="54">
          <cell r="A54">
            <v>43</v>
          </cell>
          <cell r="B54" t="str">
            <v>06/04  </v>
          </cell>
          <cell r="C54">
            <v>0</v>
          </cell>
          <cell r="D54">
            <v>0</v>
          </cell>
          <cell r="E54" t="str">
            <v>SISPAG FORNECEDORES</v>
          </cell>
          <cell r="F54">
            <v>-13419.68</v>
          </cell>
          <cell r="G54">
            <v>0</v>
          </cell>
        </row>
        <row r="55">
          <cell r="A55">
            <v>44</v>
          </cell>
          <cell r="B55" t="str">
            <v>06/04  </v>
          </cell>
          <cell r="C55">
            <v>0</v>
          </cell>
          <cell r="D55">
            <v>0</v>
          </cell>
          <cell r="E55" t="str">
            <v>SISPAG FORNECEDORES</v>
          </cell>
          <cell r="F55">
            <v>-947</v>
          </cell>
          <cell r="G55">
            <v>0</v>
          </cell>
        </row>
        <row r="56">
          <cell r="A56">
            <v>45</v>
          </cell>
          <cell r="B56" t="str">
            <v>06/04  </v>
          </cell>
          <cell r="C56" t="str">
            <v>D</v>
          </cell>
          <cell r="D56">
            <v>0</v>
          </cell>
          <cell r="E56" t="str">
            <v>SISPAG FORNECEDORES</v>
          </cell>
          <cell r="F56">
            <v>-745.46</v>
          </cell>
          <cell r="G56">
            <v>0</v>
          </cell>
        </row>
        <row r="57">
          <cell r="A57">
            <v>46</v>
          </cell>
          <cell r="B57" t="str">
            <v>06/04  </v>
          </cell>
          <cell r="C57" t="str">
            <v>D</v>
          </cell>
          <cell r="D57">
            <v>0</v>
          </cell>
          <cell r="E57" t="str">
            <v>SISPAG FORNECEDORES</v>
          </cell>
          <cell r="F57">
            <v>-18737.54</v>
          </cell>
          <cell r="G57">
            <v>0</v>
          </cell>
        </row>
        <row r="58">
          <cell r="A58">
            <v>47</v>
          </cell>
          <cell r="B58" t="str">
            <v>06/04  </v>
          </cell>
          <cell r="C58">
            <v>0</v>
          </cell>
          <cell r="D58">
            <v>0</v>
          </cell>
          <cell r="E58" t="str">
            <v>COLETA DIN</v>
          </cell>
          <cell r="F58">
            <v>44000</v>
          </cell>
          <cell r="G58">
            <v>0</v>
          </cell>
        </row>
        <row r="59">
          <cell r="A59">
            <v>48</v>
          </cell>
          <cell r="B59" t="str">
            <v>06/04  </v>
          </cell>
          <cell r="C59">
            <v>0</v>
          </cell>
          <cell r="D59">
            <v>0</v>
          </cell>
          <cell r="E59" t="str">
            <v>TRANSF 7649.14595-5</v>
          </cell>
          <cell r="F59">
            <v>2198.96</v>
          </cell>
          <cell r="G59">
            <v>0</v>
          </cell>
        </row>
        <row r="60">
          <cell r="A60">
            <v>49</v>
          </cell>
          <cell r="B60" t="str">
            <v>06/04  </v>
          </cell>
          <cell r="C60">
            <v>0</v>
          </cell>
          <cell r="D60">
            <v>0</v>
          </cell>
          <cell r="E60" t="str">
            <v>TRANSF 7649.23054-2</v>
          </cell>
          <cell r="F60">
            <v>142466.32999999999</v>
          </cell>
          <cell r="G60">
            <v>0</v>
          </cell>
        </row>
        <row r="61">
          <cell r="A61">
            <v>50</v>
          </cell>
          <cell r="B61" t="str">
            <v>06/04  </v>
          </cell>
          <cell r="C61">
            <v>0</v>
          </cell>
          <cell r="D61">
            <v>0</v>
          </cell>
          <cell r="E61" t="str">
            <v>SDO CTA/APL AUTOMATICAS</v>
          </cell>
          <cell r="F61">
            <v>0</v>
          </cell>
          <cell r="G61">
            <v>1252103.5900000001</v>
          </cell>
        </row>
        <row r="62">
          <cell r="A62">
            <v>51</v>
          </cell>
          <cell r="B62" t="str">
            <v>07/04  </v>
          </cell>
          <cell r="C62">
            <v>0</v>
          </cell>
          <cell r="D62">
            <v>0</v>
          </cell>
          <cell r="E62" t="str">
            <v>SISPAG TRIBUTOS</v>
          </cell>
          <cell r="F62">
            <v>-48875.26</v>
          </cell>
          <cell r="G62">
            <v>0</v>
          </cell>
        </row>
        <row r="63">
          <cell r="A63">
            <v>52</v>
          </cell>
          <cell r="B63" t="str">
            <v>07/04  </v>
          </cell>
          <cell r="C63">
            <v>0</v>
          </cell>
          <cell r="D63">
            <v>0</v>
          </cell>
          <cell r="E63" t="str">
            <v>SISPAG FORNECEDORES</v>
          </cell>
          <cell r="F63">
            <v>-29508.58</v>
          </cell>
          <cell r="G63">
            <v>0</v>
          </cell>
        </row>
        <row r="64">
          <cell r="A64">
            <v>53</v>
          </cell>
          <cell r="B64" t="str">
            <v>07/04  </v>
          </cell>
          <cell r="C64">
            <v>0</v>
          </cell>
          <cell r="D64">
            <v>0</v>
          </cell>
          <cell r="E64" t="str">
            <v>SISPAG FORNECEDORES</v>
          </cell>
          <cell r="F64">
            <v>-3971.09</v>
          </cell>
          <cell r="G64">
            <v>0</v>
          </cell>
        </row>
        <row r="65">
          <cell r="A65">
            <v>54</v>
          </cell>
          <cell r="B65" t="str">
            <v>07/04  </v>
          </cell>
          <cell r="C65">
            <v>0</v>
          </cell>
          <cell r="D65">
            <v>0</v>
          </cell>
          <cell r="E65" t="str">
            <v>SISPAG FORNECEDORES</v>
          </cell>
          <cell r="F65">
            <v>-2833.95</v>
          </cell>
          <cell r="G65">
            <v>0</v>
          </cell>
        </row>
        <row r="66">
          <cell r="A66">
            <v>55</v>
          </cell>
          <cell r="B66" t="str">
            <v>07/04  </v>
          </cell>
          <cell r="C66" t="str">
            <v>D</v>
          </cell>
          <cell r="D66">
            <v>0</v>
          </cell>
          <cell r="E66" t="str">
            <v>SISPAG FORNECEDORES</v>
          </cell>
          <cell r="F66">
            <v>-157791.89000000001</v>
          </cell>
          <cell r="G66">
            <v>0</v>
          </cell>
        </row>
        <row r="67">
          <cell r="A67">
            <v>56</v>
          </cell>
          <cell r="B67" t="str">
            <v>07/04  </v>
          </cell>
          <cell r="C67">
            <v>0</v>
          </cell>
          <cell r="D67">
            <v>0</v>
          </cell>
          <cell r="E67" t="str">
            <v>COLETA DIN</v>
          </cell>
          <cell r="F67">
            <v>16000</v>
          </cell>
          <cell r="G67">
            <v>0</v>
          </cell>
        </row>
        <row r="68">
          <cell r="A68">
            <v>57</v>
          </cell>
          <cell r="B68" t="str">
            <v>07/04  </v>
          </cell>
          <cell r="C68">
            <v>0</v>
          </cell>
          <cell r="D68">
            <v>0</v>
          </cell>
          <cell r="E68" t="str">
            <v>TRANSF 7649.14595-5</v>
          </cell>
          <cell r="F68">
            <v>3343.78</v>
          </cell>
          <cell r="G68">
            <v>0</v>
          </cell>
        </row>
        <row r="69">
          <cell r="A69">
            <v>58</v>
          </cell>
          <cell r="B69" t="str">
            <v>07/04  </v>
          </cell>
          <cell r="C69">
            <v>0</v>
          </cell>
          <cell r="D69">
            <v>0</v>
          </cell>
          <cell r="E69" t="str">
            <v>TRANSF 7649.23054-2</v>
          </cell>
          <cell r="F69">
            <v>170859.96</v>
          </cell>
          <cell r="G69">
            <v>0</v>
          </cell>
        </row>
        <row r="70">
          <cell r="A70">
            <v>59</v>
          </cell>
          <cell r="B70" t="str">
            <v>07/04  </v>
          </cell>
          <cell r="C70" t="str">
            <v>C</v>
          </cell>
          <cell r="D70">
            <v>0</v>
          </cell>
          <cell r="E70" t="str">
            <v>MOV TIT COBRANCA 07/04S</v>
          </cell>
          <cell r="F70">
            <v>12955.52</v>
          </cell>
          <cell r="G70">
            <v>0</v>
          </cell>
        </row>
        <row r="71">
          <cell r="A71">
            <v>60</v>
          </cell>
          <cell r="B71" t="str">
            <v>07/04  </v>
          </cell>
          <cell r="C71">
            <v>0</v>
          </cell>
          <cell r="D71">
            <v>0</v>
          </cell>
          <cell r="E71" t="str">
            <v>REND PAGO APLIC AUT MAIS</v>
          </cell>
          <cell r="F71">
            <v>2.8</v>
          </cell>
          <cell r="G71">
            <v>0</v>
          </cell>
        </row>
        <row r="72">
          <cell r="A72">
            <v>61</v>
          </cell>
          <cell r="B72" t="str">
            <v>07/04  </v>
          </cell>
          <cell r="C72">
            <v>0</v>
          </cell>
          <cell r="D72">
            <v>0</v>
          </cell>
          <cell r="E72" t="str">
            <v>SDO CTA/APL AUTOMATICAS</v>
          </cell>
          <cell r="F72">
            <v>0</v>
          </cell>
          <cell r="G72">
            <v>1212284.8799999999</v>
          </cell>
        </row>
        <row r="73">
          <cell r="A73">
            <v>62</v>
          </cell>
          <cell r="B73" t="str">
            <v>07/04  </v>
          </cell>
          <cell r="C73">
            <v>0</v>
          </cell>
          <cell r="D73">
            <v>0</v>
          </cell>
          <cell r="E73" t="str">
            <v>(-) SALDO A LIBERAR</v>
          </cell>
          <cell r="F73">
            <v>0</v>
          </cell>
          <cell r="G73">
            <v>12955.52</v>
          </cell>
        </row>
        <row r="74">
          <cell r="A74">
            <v>63</v>
          </cell>
          <cell r="B74" t="str">
            <v>07/04  </v>
          </cell>
          <cell r="C74">
            <v>0</v>
          </cell>
          <cell r="D74">
            <v>0</v>
          </cell>
          <cell r="E74" t="str">
            <v>SALDO FINAL DISPONIVEL</v>
          </cell>
          <cell r="F74">
            <v>0</v>
          </cell>
          <cell r="G74">
            <v>1199329.3600000001</v>
          </cell>
        </row>
        <row r="75">
          <cell r="A75">
            <v>64</v>
          </cell>
          <cell r="B75" t="str">
            <v>08/04  </v>
          </cell>
          <cell r="C75">
            <v>0</v>
          </cell>
          <cell r="D75">
            <v>0</v>
          </cell>
          <cell r="E75" t="str">
            <v>SISPAG TRIBUTOS</v>
          </cell>
          <cell r="F75">
            <v>-2863.46</v>
          </cell>
          <cell r="G75">
            <v>0</v>
          </cell>
        </row>
        <row r="76">
          <cell r="A76">
            <v>65</v>
          </cell>
          <cell r="B76" t="str">
            <v>08/04  </v>
          </cell>
          <cell r="C76">
            <v>0</v>
          </cell>
          <cell r="D76">
            <v>0</v>
          </cell>
          <cell r="E76" t="str">
            <v>SISPAG FORNECEDORES</v>
          </cell>
          <cell r="F76">
            <v>-8915.64</v>
          </cell>
          <cell r="G76">
            <v>0</v>
          </cell>
        </row>
        <row r="77">
          <cell r="A77">
            <v>66</v>
          </cell>
          <cell r="B77" t="str">
            <v>08/04  </v>
          </cell>
          <cell r="C77">
            <v>0</v>
          </cell>
          <cell r="D77">
            <v>0</v>
          </cell>
          <cell r="E77" t="str">
            <v>SISPAG FORNECEDORES</v>
          </cell>
          <cell r="F77">
            <v>-112595.03</v>
          </cell>
          <cell r="G77">
            <v>0</v>
          </cell>
        </row>
        <row r="78">
          <cell r="A78">
            <v>67</v>
          </cell>
          <cell r="B78" t="str">
            <v>08/04  </v>
          </cell>
          <cell r="C78">
            <v>0</v>
          </cell>
          <cell r="D78">
            <v>0</v>
          </cell>
          <cell r="E78" t="str">
            <v>SISPAG FORNECEDORES TED</v>
          </cell>
          <cell r="F78">
            <v>-5289</v>
          </cell>
          <cell r="G78">
            <v>0</v>
          </cell>
        </row>
        <row r="79">
          <cell r="A79">
            <v>68</v>
          </cell>
          <cell r="B79" t="str">
            <v>08/04  </v>
          </cell>
          <cell r="C79" t="str">
            <v>D</v>
          </cell>
          <cell r="D79">
            <v>0</v>
          </cell>
          <cell r="E79" t="str">
            <v>SISPAG FORNECEDORES</v>
          </cell>
          <cell r="F79">
            <v>-182867.26</v>
          </cell>
          <cell r="G79">
            <v>0</v>
          </cell>
        </row>
        <row r="80">
          <cell r="A80">
            <v>69</v>
          </cell>
          <cell r="B80" t="str">
            <v>08/04  </v>
          </cell>
          <cell r="C80">
            <v>0</v>
          </cell>
          <cell r="D80">
            <v>0</v>
          </cell>
          <cell r="E80" t="str">
            <v>COLETA DIN</v>
          </cell>
          <cell r="F80">
            <v>106000</v>
          </cell>
          <cell r="G80">
            <v>0</v>
          </cell>
        </row>
        <row r="81">
          <cell r="A81">
            <v>70</v>
          </cell>
          <cell r="B81" t="str">
            <v>08/04  </v>
          </cell>
          <cell r="C81">
            <v>0</v>
          </cell>
          <cell r="D81">
            <v>0</v>
          </cell>
          <cell r="E81" t="str">
            <v>TRANSF 7649.14595-5</v>
          </cell>
          <cell r="F81">
            <v>2390.35</v>
          </cell>
          <cell r="G81">
            <v>0</v>
          </cell>
        </row>
        <row r="82">
          <cell r="A82">
            <v>71</v>
          </cell>
          <cell r="B82" t="str">
            <v>08/04  </v>
          </cell>
          <cell r="C82">
            <v>0</v>
          </cell>
          <cell r="D82">
            <v>0</v>
          </cell>
          <cell r="E82" t="str">
            <v>TRANSF 7649.23054-2</v>
          </cell>
          <cell r="F82">
            <v>84.17</v>
          </cell>
          <cell r="G82">
            <v>0</v>
          </cell>
        </row>
        <row r="83">
          <cell r="A83">
            <v>72</v>
          </cell>
          <cell r="B83" t="str">
            <v>08/04  </v>
          </cell>
          <cell r="C83">
            <v>0</v>
          </cell>
          <cell r="D83">
            <v>0</v>
          </cell>
          <cell r="E83" t="str">
            <v>TRANSF 7649.23054-2</v>
          </cell>
          <cell r="F83">
            <v>162999.62</v>
          </cell>
          <cell r="G83">
            <v>0</v>
          </cell>
        </row>
        <row r="84">
          <cell r="A84">
            <v>73</v>
          </cell>
          <cell r="B84" t="str">
            <v>08/04  </v>
          </cell>
          <cell r="C84" t="str">
            <v>C</v>
          </cell>
          <cell r="D84">
            <v>0</v>
          </cell>
          <cell r="E84" t="str">
            <v>MOV TIT COBRANCA 08/04S</v>
          </cell>
          <cell r="F84">
            <v>697.66</v>
          </cell>
          <cell r="G84">
            <v>0</v>
          </cell>
        </row>
        <row r="85">
          <cell r="A85">
            <v>74</v>
          </cell>
          <cell r="B85" t="str">
            <v>08/04  </v>
          </cell>
          <cell r="C85">
            <v>0</v>
          </cell>
          <cell r="D85">
            <v>0</v>
          </cell>
          <cell r="E85" t="str">
            <v>REND PAGO APLIC AUT MAIS</v>
          </cell>
          <cell r="F85">
            <v>3.21</v>
          </cell>
          <cell r="G85">
            <v>0</v>
          </cell>
        </row>
        <row r="86">
          <cell r="A86">
            <v>75</v>
          </cell>
          <cell r="B86" t="str">
            <v>08/04  </v>
          </cell>
          <cell r="C86">
            <v>0</v>
          </cell>
          <cell r="D86">
            <v>0</v>
          </cell>
          <cell r="E86" t="str">
            <v>SDO CTA/APL AUTOMATICAS</v>
          </cell>
          <cell r="F86">
            <v>0</v>
          </cell>
          <cell r="G86">
            <v>1171929.5</v>
          </cell>
        </row>
        <row r="87">
          <cell r="A87">
            <v>76</v>
          </cell>
          <cell r="B87" t="str">
            <v>08/04  </v>
          </cell>
          <cell r="C87">
            <v>0</v>
          </cell>
          <cell r="D87">
            <v>0</v>
          </cell>
          <cell r="E87" t="str">
            <v>(-) SALDO A LIBERAR</v>
          </cell>
          <cell r="F87">
            <v>0</v>
          </cell>
          <cell r="G87">
            <v>697.66</v>
          </cell>
        </row>
        <row r="88">
          <cell r="A88">
            <v>77</v>
          </cell>
          <cell r="B88" t="str">
            <v>08/04  </v>
          </cell>
          <cell r="C88">
            <v>0</v>
          </cell>
          <cell r="D88">
            <v>0</v>
          </cell>
          <cell r="E88" t="str">
            <v>SALDO FINAL DISPONIVEL</v>
          </cell>
          <cell r="F88">
            <v>0</v>
          </cell>
          <cell r="G88">
            <v>1171231.8400000001</v>
          </cell>
        </row>
        <row r="89">
          <cell r="A89">
            <v>78</v>
          </cell>
          <cell r="B89" t="str">
            <v>11/04  </v>
          </cell>
          <cell r="C89">
            <v>0</v>
          </cell>
          <cell r="D89">
            <v>0</v>
          </cell>
          <cell r="E89" t="str">
            <v>TAR TRANSPORTE VALORES</v>
          </cell>
          <cell r="F89">
            <v>-1517.2</v>
          </cell>
          <cell r="G89">
            <v>0</v>
          </cell>
        </row>
        <row r="90">
          <cell r="A90">
            <v>79</v>
          </cell>
          <cell r="B90" t="str">
            <v>11/04  </v>
          </cell>
          <cell r="C90">
            <v>0</v>
          </cell>
          <cell r="D90">
            <v>0</v>
          </cell>
          <cell r="E90" t="str">
            <v>SISPAG TRIBUTOS</v>
          </cell>
          <cell r="F90">
            <v>-196.37</v>
          </cell>
          <cell r="G90">
            <v>0</v>
          </cell>
        </row>
        <row r="91">
          <cell r="A91">
            <v>80</v>
          </cell>
          <cell r="B91" t="str">
            <v>11/04  </v>
          </cell>
          <cell r="C91">
            <v>0</v>
          </cell>
          <cell r="D91">
            <v>0</v>
          </cell>
          <cell r="E91" t="str">
            <v>SISPAG FORNECEDORES</v>
          </cell>
          <cell r="F91">
            <v>-396.59</v>
          </cell>
          <cell r="G91">
            <v>0</v>
          </cell>
        </row>
        <row r="92">
          <cell r="A92">
            <v>81</v>
          </cell>
          <cell r="B92" t="str">
            <v>11/04  </v>
          </cell>
          <cell r="C92">
            <v>0</v>
          </cell>
          <cell r="D92">
            <v>0</v>
          </cell>
          <cell r="E92" t="str">
            <v>SISPAG FORNECEDORES</v>
          </cell>
          <cell r="F92">
            <v>-183550.56</v>
          </cell>
          <cell r="G92">
            <v>0</v>
          </cell>
        </row>
        <row r="93">
          <cell r="A93">
            <v>82</v>
          </cell>
          <cell r="B93" t="str">
            <v>11/04  </v>
          </cell>
          <cell r="C93">
            <v>0</v>
          </cell>
          <cell r="D93">
            <v>0</v>
          </cell>
          <cell r="E93" t="str">
            <v>SISPAG FORNECEDORES</v>
          </cell>
          <cell r="F93">
            <v>-3335.81</v>
          </cell>
          <cell r="G93">
            <v>0</v>
          </cell>
        </row>
        <row r="94">
          <cell r="A94">
            <v>83</v>
          </cell>
          <cell r="B94" t="str">
            <v>11/04  </v>
          </cell>
          <cell r="C94" t="str">
            <v>D</v>
          </cell>
          <cell r="D94">
            <v>0</v>
          </cell>
          <cell r="E94" t="str">
            <v>SISPAG FORNECEDORES</v>
          </cell>
          <cell r="F94">
            <v>-429859.56</v>
          </cell>
          <cell r="G94">
            <v>0</v>
          </cell>
        </row>
        <row r="95">
          <cell r="A95">
            <v>84</v>
          </cell>
          <cell r="B95" t="str">
            <v>11/04  </v>
          </cell>
          <cell r="C95">
            <v>0</v>
          </cell>
          <cell r="D95">
            <v>0</v>
          </cell>
          <cell r="E95" t="str">
            <v>COLETA DIN</v>
          </cell>
          <cell r="F95">
            <v>25000</v>
          </cell>
          <cell r="G95">
            <v>0</v>
          </cell>
        </row>
        <row r="96">
          <cell r="A96">
            <v>85</v>
          </cell>
          <cell r="B96" t="str">
            <v>11/04  </v>
          </cell>
          <cell r="C96">
            <v>0</v>
          </cell>
          <cell r="D96">
            <v>0</v>
          </cell>
          <cell r="E96" t="str">
            <v>COLETA DIN</v>
          </cell>
          <cell r="F96">
            <v>166019</v>
          </cell>
          <cell r="G96">
            <v>0</v>
          </cell>
        </row>
        <row r="97">
          <cell r="A97">
            <v>86</v>
          </cell>
          <cell r="B97" t="str">
            <v>11/04  </v>
          </cell>
          <cell r="C97">
            <v>0</v>
          </cell>
          <cell r="D97">
            <v>0</v>
          </cell>
          <cell r="E97" t="str">
            <v>TRANSF 7649.14595-5</v>
          </cell>
          <cell r="F97">
            <v>9292.26</v>
          </cell>
          <cell r="G97">
            <v>0</v>
          </cell>
        </row>
        <row r="98">
          <cell r="A98">
            <v>87</v>
          </cell>
          <cell r="B98" t="str">
            <v>11/04  </v>
          </cell>
          <cell r="C98">
            <v>0</v>
          </cell>
          <cell r="D98">
            <v>0</v>
          </cell>
          <cell r="E98" t="str">
            <v>TRANSF 7649.23054-2</v>
          </cell>
          <cell r="F98">
            <v>472129.38</v>
          </cell>
          <cell r="G98">
            <v>0</v>
          </cell>
        </row>
        <row r="99">
          <cell r="A99">
            <v>88</v>
          </cell>
          <cell r="B99" t="str">
            <v>11/04  </v>
          </cell>
          <cell r="C99">
            <v>0</v>
          </cell>
          <cell r="D99">
            <v>0</v>
          </cell>
          <cell r="E99" t="str">
            <v>SDO CTA/APL AUTOMATICAS</v>
          </cell>
          <cell r="F99">
            <v>0</v>
          </cell>
          <cell r="G99">
            <v>1225514.05</v>
          </cell>
        </row>
        <row r="100">
          <cell r="A100">
            <v>89</v>
          </cell>
          <cell r="B100" t="str">
            <v>12/04  </v>
          </cell>
          <cell r="C100">
            <v>0</v>
          </cell>
          <cell r="D100">
            <v>0</v>
          </cell>
          <cell r="E100" t="str">
            <v>SISPAG FORNECEDORES</v>
          </cell>
          <cell r="F100">
            <v>-2533.64</v>
          </cell>
          <cell r="G100">
            <v>0</v>
          </cell>
        </row>
        <row r="101">
          <cell r="A101">
            <v>90</v>
          </cell>
          <cell r="B101" t="str">
            <v>12/04  </v>
          </cell>
          <cell r="C101">
            <v>0</v>
          </cell>
          <cell r="D101">
            <v>0</v>
          </cell>
          <cell r="E101" t="str">
            <v>SISPAG FORNECEDORES</v>
          </cell>
          <cell r="F101">
            <v>-175000</v>
          </cell>
          <cell r="G101">
            <v>0</v>
          </cell>
        </row>
        <row r="102">
          <cell r="A102">
            <v>91</v>
          </cell>
          <cell r="B102" t="str">
            <v>12/04  </v>
          </cell>
          <cell r="C102">
            <v>0</v>
          </cell>
          <cell r="D102">
            <v>0</v>
          </cell>
          <cell r="E102" t="str">
            <v>SISPAG FORNECEDORES TED</v>
          </cell>
          <cell r="F102">
            <v>-35435.9</v>
          </cell>
          <cell r="G102">
            <v>0</v>
          </cell>
        </row>
        <row r="103">
          <cell r="A103">
            <v>92</v>
          </cell>
          <cell r="B103" t="str">
            <v>12/04  </v>
          </cell>
          <cell r="C103" t="str">
            <v>D</v>
          </cell>
          <cell r="D103">
            <v>0</v>
          </cell>
          <cell r="E103" t="str">
            <v>SISPAG FORNECEDORES</v>
          </cell>
          <cell r="F103">
            <v>-60408.72</v>
          </cell>
          <cell r="G103">
            <v>0</v>
          </cell>
        </row>
        <row r="104">
          <cell r="A104">
            <v>93</v>
          </cell>
          <cell r="B104" t="str">
            <v>12/04  </v>
          </cell>
          <cell r="C104">
            <v>0</v>
          </cell>
          <cell r="D104">
            <v>0</v>
          </cell>
          <cell r="E104" t="str">
            <v>TAR ORDEM PAGTO SISPAG</v>
          </cell>
          <cell r="F104">
            <v>-11</v>
          </cell>
          <cell r="G104">
            <v>0</v>
          </cell>
        </row>
        <row r="105">
          <cell r="A105">
            <v>94</v>
          </cell>
          <cell r="B105" t="str">
            <v>12/04  </v>
          </cell>
          <cell r="C105">
            <v>0</v>
          </cell>
          <cell r="D105">
            <v>0</v>
          </cell>
          <cell r="E105" t="str">
            <v>TAR AVISO FAVOREC SISPAG</v>
          </cell>
          <cell r="F105">
            <v>-1</v>
          </cell>
          <cell r="G105">
            <v>0</v>
          </cell>
        </row>
        <row r="106">
          <cell r="A106">
            <v>95</v>
          </cell>
          <cell r="B106" t="str">
            <v>12/04  </v>
          </cell>
          <cell r="C106">
            <v>0</v>
          </cell>
          <cell r="D106">
            <v>0</v>
          </cell>
          <cell r="E106" t="str">
            <v>COLETA DIN</v>
          </cell>
          <cell r="F106">
            <v>32000</v>
          </cell>
          <cell r="G106">
            <v>0</v>
          </cell>
        </row>
        <row r="107">
          <cell r="A107">
            <v>96</v>
          </cell>
          <cell r="B107" t="str">
            <v>12/04  </v>
          </cell>
          <cell r="C107">
            <v>0</v>
          </cell>
          <cell r="D107">
            <v>0</v>
          </cell>
          <cell r="E107" t="str">
            <v>TRANSF 7649.14595-5</v>
          </cell>
          <cell r="F107">
            <v>3404.07</v>
          </cell>
          <cell r="G107">
            <v>0</v>
          </cell>
        </row>
        <row r="108">
          <cell r="A108">
            <v>97</v>
          </cell>
          <cell r="B108" t="str">
            <v>12/04  </v>
          </cell>
          <cell r="C108">
            <v>0</v>
          </cell>
          <cell r="D108">
            <v>0</v>
          </cell>
          <cell r="E108" t="str">
            <v>TRANSF 7649.23054-2</v>
          </cell>
          <cell r="F108">
            <v>194288.95</v>
          </cell>
          <cell r="G108">
            <v>0</v>
          </cell>
        </row>
        <row r="109">
          <cell r="A109">
            <v>98</v>
          </cell>
          <cell r="B109" t="str">
            <v>12/04  </v>
          </cell>
          <cell r="C109">
            <v>0</v>
          </cell>
          <cell r="D109">
            <v>0</v>
          </cell>
          <cell r="E109" t="str">
            <v>REND PAGO APLIC AUT MAIS</v>
          </cell>
          <cell r="F109">
            <v>4.74</v>
          </cell>
          <cell r="G109">
            <v>0</v>
          </cell>
        </row>
        <row r="110">
          <cell r="A110">
            <v>99</v>
          </cell>
          <cell r="B110" t="str">
            <v>12/04  </v>
          </cell>
          <cell r="C110">
            <v>0</v>
          </cell>
          <cell r="D110">
            <v>0</v>
          </cell>
          <cell r="E110" t="str">
            <v>SDO CTA/APL AUTOMATICAS</v>
          </cell>
          <cell r="F110">
            <v>0</v>
          </cell>
          <cell r="G110">
            <v>1181821.55</v>
          </cell>
        </row>
        <row r="111">
          <cell r="A111">
            <v>100</v>
          </cell>
          <cell r="B111" t="str">
            <v>13/04  </v>
          </cell>
          <cell r="C111">
            <v>0</v>
          </cell>
          <cell r="D111">
            <v>0</v>
          </cell>
          <cell r="E111" t="str">
            <v>SISPAG TRIBUTOS</v>
          </cell>
          <cell r="F111">
            <v>-2869.64</v>
          </cell>
          <cell r="G111">
            <v>0</v>
          </cell>
        </row>
        <row r="112">
          <cell r="A112">
            <v>101</v>
          </cell>
          <cell r="B112" t="str">
            <v>13/04  </v>
          </cell>
          <cell r="C112">
            <v>0</v>
          </cell>
          <cell r="D112">
            <v>0</v>
          </cell>
          <cell r="E112" t="str">
            <v>SISPAG FORNECEDORES</v>
          </cell>
          <cell r="F112">
            <v>-740.97</v>
          </cell>
          <cell r="G112">
            <v>0</v>
          </cell>
        </row>
        <row r="113">
          <cell r="A113">
            <v>102</v>
          </cell>
          <cell r="B113" t="str">
            <v>13/04  </v>
          </cell>
          <cell r="C113">
            <v>0</v>
          </cell>
          <cell r="D113">
            <v>0</v>
          </cell>
          <cell r="E113" t="str">
            <v>SISPAG FORNECEDORES</v>
          </cell>
          <cell r="F113">
            <v>-23504.62</v>
          </cell>
          <cell r="G113">
            <v>0</v>
          </cell>
        </row>
        <row r="114">
          <cell r="A114">
            <v>103</v>
          </cell>
          <cell r="B114" t="str">
            <v>13/04  </v>
          </cell>
          <cell r="C114">
            <v>0</v>
          </cell>
          <cell r="D114">
            <v>0</v>
          </cell>
          <cell r="E114" t="str">
            <v>SISPAG FORNECEDORES</v>
          </cell>
          <cell r="F114">
            <v>-9190.36</v>
          </cell>
          <cell r="G114">
            <v>0</v>
          </cell>
        </row>
        <row r="115">
          <cell r="A115">
            <v>104</v>
          </cell>
          <cell r="B115" t="str">
            <v>13/04  </v>
          </cell>
          <cell r="C115">
            <v>0</v>
          </cell>
          <cell r="D115">
            <v>0</v>
          </cell>
          <cell r="E115" t="str">
            <v>SISPAG FORNECEDORES TED</v>
          </cell>
          <cell r="F115">
            <v>-2175</v>
          </cell>
          <cell r="G115">
            <v>0</v>
          </cell>
        </row>
        <row r="116">
          <cell r="A116">
            <v>105</v>
          </cell>
          <cell r="B116" t="str">
            <v>13/04  </v>
          </cell>
          <cell r="C116" t="str">
            <v>D</v>
          </cell>
          <cell r="D116">
            <v>0</v>
          </cell>
          <cell r="E116" t="str">
            <v>SISPAG FORNECEDORES</v>
          </cell>
          <cell r="F116">
            <v>-94910.81</v>
          </cell>
          <cell r="G116">
            <v>0</v>
          </cell>
        </row>
        <row r="117">
          <cell r="A117">
            <v>106</v>
          </cell>
          <cell r="B117" t="str">
            <v>13/04  </v>
          </cell>
          <cell r="C117">
            <v>0</v>
          </cell>
          <cell r="D117">
            <v>0</v>
          </cell>
          <cell r="E117" t="str">
            <v>COLETA DIN</v>
          </cell>
          <cell r="F117">
            <v>42000</v>
          </cell>
          <cell r="G117">
            <v>0</v>
          </cell>
        </row>
        <row r="118">
          <cell r="A118">
            <v>107</v>
          </cell>
          <cell r="B118" t="str">
            <v>13/04  </v>
          </cell>
          <cell r="C118">
            <v>0</v>
          </cell>
          <cell r="D118">
            <v>0</v>
          </cell>
          <cell r="E118" t="str">
            <v>TRANSF 7649.14595-5</v>
          </cell>
          <cell r="F118">
            <v>2075.9299999999998</v>
          </cell>
          <cell r="G118">
            <v>0</v>
          </cell>
        </row>
        <row r="119">
          <cell r="A119">
            <v>108</v>
          </cell>
          <cell r="B119" t="str">
            <v>13/04  </v>
          </cell>
          <cell r="C119">
            <v>0</v>
          </cell>
          <cell r="D119">
            <v>0</v>
          </cell>
          <cell r="E119" t="str">
            <v>TRANSF 7649.23054-2</v>
          </cell>
          <cell r="F119">
            <v>137854.57999999999</v>
          </cell>
          <cell r="G119">
            <v>0</v>
          </cell>
        </row>
        <row r="120">
          <cell r="A120">
            <v>109</v>
          </cell>
          <cell r="B120" t="str">
            <v>13/04  </v>
          </cell>
          <cell r="C120">
            <v>0</v>
          </cell>
          <cell r="D120">
            <v>0</v>
          </cell>
          <cell r="E120" t="str">
            <v>MOV TIT COB DISP 13/04S</v>
          </cell>
          <cell r="F120">
            <v>2129.35</v>
          </cell>
          <cell r="G120">
            <v>0</v>
          </cell>
        </row>
        <row r="121">
          <cell r="A121">
            <v>110</v>
          </cell>
          <cell r="B121" t="str">
            <v>13/04  </v>
          </cell>
          <cell r="C121">
            <v>0</v>
          </cell>
          <cell r="D121">
            <v>0</v>
          </cell>
          <cell r="E121" t="str">
            <v>SDO CTA/APL AUTOMATICAS</v>
          </cell>
          <cell r="F121">
            <v>0</v>
          </cell>
          <cell r="G121">
            <v>1232490.01</v>
          </cell>
        </row>
        <row r="122">
          <cell r="A122">
            <v>111</v>
          </cell>
          <cell r="B122" t="str">
            <v>14/04  </v>
          </cell>
          <cell r="C122">
            <v>0</v>
          </cell>
          <cell r="D122">
            <v>0</v>
          </cell>
          <cell r="E122" t="str">
            <v>SISPAG FORNECEDORES</v>
          </cell>
          <cell r="F122">
            <v>-79636.84</v>
          </cell>
          <cell r="G122">
            <v>0</v>
          </cell>
        </row>
        <row r="123">
          <cell r="A123">
            <v>112</v>
          </cell>
          <cell r="B123" t="str">
            <v>14/04  </v>
          </cell>
          <cell r="C123">
            <v>0</v>
          </cell>
          <cell r="D123">
            <v>0</v>
          </cell>
          <cell r="E123" t="str">
            <v>SISPAG FORNECEDORES</v>
          </cell>
          <cell r="F123">
            <v>-930</v>
          </cell>
          <cell r="G123">
            <v>0</v>
          </cell>
        </row>
        <row r="124">
          <cell r="A124">
            <v>113</v>
          </cell>
          <cell r="B124" t="str">
            <v>14/04  </v>
          </cell>
          <cell r="C124">
            <v>0</v>
          </cell>
          <cell r="D124">
            <v>0</v>
          </cell>
          <cell r="E124" t="str">
            <v>SISPAG FORNECEDORES TED</v>
          </cell>
          <cell r="F124">
            <v>-4940</v>
          </cell>
          <cell r="G124">
            <v>0</v>
          </cell>
        </row>
        <row r="125">
          <cell r="A125">
            <v>114</v>
          </cell>
          <cell r="B125" t="str">
            <v>14/04  </v>
          </cell>
          <cell r="C125" t="str">
            <v>D</v>
          </cell>
          <cell r="D125">
            <v>0</v>
          </cell>
          <cell r="E125" t="str">
            <v>SISPAG FORNECEDORES</v>
          </cell>
          <cell r="F125">
            <v>-206017.27</v>
          </cell>
          <cell r="G125">
            <v>0</v>
          </cell>
        </row>
        <row r="126">
          <cell r="A126">
            <v>115</v>
          </cell>
          <cell r="B126" t="str">
            <v>14/04  </v>
          </cell>
          <cell r="C126">
            <v>0</v>
          </cell>
          <cell r="D126">
            <v>0</v>
          </cell>
          <cell r="E126" t="str">
            <v>COLETA DIN</v>
          </cell>
          <cell r="F126">
            <v>19000</v>
          </cell>
          <cell r="G126">
            <v>0</v>
          </cell>
        </row>
        <row r="127">
          <cell r="A127">
            <v>116</v>
          </cell>
          <cell r="B127" t="str">
            <v>14/04  </v>
          </cell>
          <cell r="C127">
            <v>0</v>
          </cell>
          <cell r="D127">
            <v>0</v>
          </cell>
          <cell r="E127" t="str">
            <v>TRANSF 7649.14595-5</v>
          </cell>
          <cell r="F127">
            <v>3852.15</v>
          </cell>
          <cell r="G127">
            <v>0</v>
          </cell>
        </row>
        <row r="128">
          <cell r="A128">
            <v>117</v>
          </cell>
          <cell r="B128" t="str">
            <v>14/04  </v>
          </cell>
          <cell r="C128">
            <v>0</v>
          </cell>
          <cell r="D128">
            <v>0</v>
          </cell>
          <cell r="E128" t="str">
            <v>TRANSF 7649.23054-2</v>
          </cell>
          <cell r="F128">
            <v>176148.79</v>
          </cell>
          <cell r="G128">
            <v>0</v>
          </cell>
        </row>
        <row r="129">
          <cell r="A129">
            <v>118</v>
          </cell>
          <cell r="B129" t="str">
            <v>14/04  </v>
          </cell>
          <cell r="C129">
            <v>0</v>
          </cell>
          <cell r="D129">
            <v>0</v>
          </cell>
          <cell r="E129" t="str">
            <v>EST PAGTO TITULO BCO 237</v>
          </cell>
          <cell r="F129">
            <v>60408.72</v>
          </cell>
          <cell r="G129">
            <v>0</v>
          </cell>
        </row>
        <row r="130">
          <cell r="A130">
            <v>119</v>
          </cell>
          <cell r="B130" t="str">
            <v>14/04  </v>
          </cell>
          <cell r="C130">
            <v>0</v>
          </cell>
          <cell r="D130">
            <v>0</v>
          </cell>
          <cell r="E130" t="str">
            <v>REND PAGO APLIC AUT MAIS</v>
          </cell>
          <cell r="F130">
            <v>4.2</v>
          </cell>
          <cell r="G130">
            <v>0</v>
          </cell>
        </row>
        <row r="131">
          <cell r="A131">
            <v>120</v>
          </cell>
          <cell r="B131" t="str">
            <v>14/04  </v>
          </cell>
          <cell r="C131">
            <v>0</v>
          </cell>
          <cell r="D131">
            <v>0</v>
          </cell>
          <cell r="E131" t="str">
            <v>SDO CTA/APL AUTOMATICAS</v>
          </cell>
          <cell r="F131">
            <v>0</v>
          </cell>
          <cell r="G131">
            <v>1200379.76</v>
          </cell>
        </row>
        <row r="132">
          <cell r="A132">
            <v>121</v>
          </cell>
          <cell r="B132" t="str">
            <v>15/04  </v>
          </cell>
          <cell r="C132">
            <v>0</v>
          </cell>
          <cell r="D132">
            <v>0</v>
          </cell>
          <cell r="E132" t="str">
            <v>SISPAG TRIBUTOS</v>
          </cell>
          <cell r="F132">
            <v>-6677.4</v>
          </cell>
          <cell r="G132">
            <v>0</v>
          </cell>
        </row>
        <row r="133">
          <cell r="A133">
            <v>122</v>
          </cell>
          <cell r="B133" t="str">
            <v>15/04  </v>
          </cell>
          <cell r="C133">
            <v>0</v>
          </cell>
          <cell r="D133">
            <v>0</v>
          </cell>
          <cell r="E133" t="str">
            <v>SISPAG FORNECEDORES</v>
          </cell>
          <cell r="F133">
            <v>-435.41</v>
          </cell>
          <cell r="G133">
            <v>0</v>
          </cell>
        </row>
        <row r="134">
          <cell r="A134">
            <v>123</v>
          </cell>
          <cell r="B134" t="str">
            <v>15/04  </v>
          </cell>
          <cell r="C134">
            <v>0</v>
          </cell>
          <cell r="D134">
            <v>0</v>
          </cell>
          <cell r="E134" t="str">
            <v>SISPAG FORNECEDORES</v>
          </cell>
          <cell r="F134">
            <v>-91912.06</v>
          </cell>
          <cell r="G134">
            <v>0</v>
          </cell>
        </row>
        <row r="135">
          <cell r="A135">
            <v>124</v>
          </cell>
          <cell r="B135" t="str">
            <v>15/04  </v>
          </cell>
          <cell r="C135">
            <v>0</v>
          </cell>
          <cell r="D135">
            <v>0</v>
          </cell>
          <cell r="E135" t="str">
            <v>SISPAG FORNECEDORES</v>
          </cell>
          <cell r="F135">
            <v>-39852.67</v>
          </cell>
          <cell r="G135">
            <v>0</v>
          </cell>
        </row>
        <row r="136">
          <cell r="A136">
            <v>125</v>
          </cell>
          <cell r="B136" t="str">
            <v>15/04  </v>
          </cell>
          <cell r="C136">
            <v>0</v>
          </cell>
          <cell r="D136">
            <v>0</v>
          </cell>
          <cell r="E136" t="str">
            <v>SISPAG FORNECEDORES TED</v>
          </cell>
          <cell r="F136">
            <v>-15508.6</v>
          </cell>
          <cell r="G136">
            <v>0</v>
          </cell>
        </row>
        <row r="137">
          <cell r="A137">
            <v>126</v>
          </cell>
          <cell r="B137" t="str">
            <v>15/04  </v>
          </cell>
          <cell r="C137" t="str">
            <v>D</v>
          </cell>
          <cell r="D137">
            <v>0</v>
          </cell>
          <cell r="E137" t="str">
            <v>SISPAG FORNECEDORES</v>
          </cell>
          <cell r="F137">
            <v>-103232.44</v>
          </cell>
          <cell r="G137">
            <v>0</v>
          </cell>
        </row>
        <row r="138">
          <cell r="A138">
            <v>127</v>
          </cell>
          <cell r="B138" t="str">
            <v>15/04  </v>
          </cell>
          <cell r="C138">
            <v>0</v>
          </cell>
          <cell r="D138">
            <v>0</v>
          </cell>
          <cell r="E138" t="str">
            <v>COLETA DIN</v>
          </cell>
          <cell r="F138">
            <v>97000</v>
          </cell>
          <cell r="G138">
            <v>0</v>
          </cell>
        </row>
        <row r="139">
          <cell r="A139">
            <v>128</v>
          </cell>
          <cell r="B139" t="str">
            <v>15/04  </v>
          </cell>
          <cell r="C139">
            <v>0</v>
          </cell>
          <cell r="D139">
            <v>0</v>
          </cell>
          <cell r="E139" t="str">
            <v>TRANSF 7649.14595-5</v>
          </cell>
          <cell r="F139">
            <v>114.3</v>
          </cell>
          <cell r="G139">
            <v>0</v>
          </cell>
        </row>
        <row r="140">
          <cell r="A140">
            <v>129</v>
          </cell>
          <cell r="B140" t="str">
            <v>15/04  </v>
          </cell>
          <cell r="C140">
            <v>0</v>
          </cell>
          <cell r="D140">
            <v>0</v>
          </cell>
          <cell r="E140" t="str">
            <v>TRANSF 7649.14595-5</v>
          </cell>
          <cell r="F140">
            <v>2327.31</v>
          </cell>
          <cell r="G140">
            <v>0</v>
          </cell>
        </row>
        <row r="141">
          <cell r="A141">
            <v>130</v>
          </cell>
          <cell r="B141" t="str">
            <v>15/04  </v>
          </cell>
          <cell r="C141">
            <v>0</v>
          </cell>
          <cell r="D141">
            <v>0</v>
          </cell>
          <cell r="E141" t="str">
            <v>TRANSF 7649.23054-2</v>
          </cell>
          <cell r="F141">
            <v>60.71</v>
          </cell>
          <cell r="G141">
            <v>0</v>
          </cell>
        </row>
        <row r="142">
          <cell r="A142">
            <v>131</v>
          </cell>
          <cell r="B142" t="str">
            <v>15/04  </v>
          </cell>
          <cell r="C142">
            <v>0</v>
          </cell>
          <cell r="D142">
            <v>0</v>
          </cell>
          <cell r="E142" t="str">
            <v>TRANSF 7649.23054-2</v>
          </cell>
          <cell r="F142">
            <v>148404.22</v>
          </cell>
          <cell r="G142">
            <v>0</v>
          </cell>
        </row>
        <row r="143">
          <cell r="A143">
            <v>132</v>
          </cell>
          <cell r="B143" t="str">
            <v>15/04  </v>
          </cell>
          <cell r="C143">
            <v>0</v>
          </cell>
          <cell r="D143">
            <v>0</v>
          </cell>
          <cell r="E143" t="str">
            <v>MOV TIT COB DISP 15/04S</v>
          </cell>
          <cell r="F143">
            <v>69.900000000000006</v>
          </cell>
          <cell r="G143">
            <v>0</v>
          </cell>
        </row>
        <row r="144">
          <cell r="A144">
            <v>133</v>
          </cell>
          <cell r="B144" t="str">
            <v>15/04  </v>
          </cell>
          <cell r="C144" t="str">
            <v>C</v>
          </cell>
          <cell r="D144">
            <v>0</v>
          </cell>
          <cell r="E144" t="str">
            <v>MOV TIT COBRANCA 15/04S</v>
          </cell>
          <cell r="F144">
            <v>189.48</v>
          </cell>
          <cell r="G144">
            <v>0</v>
          </cell>
        </row>
        <row r="145">
          <cell r="A145">
            <v>134</v>
          </cell>
          <cell r="B145" t="str">
            <v>15/04  </v>
          </cell>
          <cell r="C145">
            <v>0</v>
          </cell>
          <cell r="D145">
            <v>0</v>
          </cell>
          <cell r="E145" t="str">
            <v>REND PAGO APLIC AUT MAIS</v>
          </cell>
          <cell r="F145">
            <v>1.38</v>
          </cell>
          <cell r="G145">
            <v>0</v>
          </cell>
        </row>
        <row r="146">
          <cell r="A146">
            <v>135</v>
          </cell>
          <cell r="B146" t="str">
            <v>15/04  </v>
          </cell>
          <cell r="C146">
            <v>0</v>
          </cell>
          <cell r="D146">
            <v>0</v>
          </cell>
          <cell r="E146" t="str">
            <v>SDO CTA/APL AUTOMATICAS</v>
          </cell>
          <cell r="F146">
            <v>0</v>
          </cell>
          <cell r="G146">
            <v>1190928.48</v>
          </cell>
        </row>
        <row r="147">
          <cell r="A147">
            <v>136</v>
          </cell>
          <cell r="B147" t="str">
            <v>15/04  </v>
          </cell>
          <cell r="C147">
            <v>0</v>
          </cell>
          <cell r="D147">
            <v>0</v>
          </cell>
          <cell r="E147" t="str">
            <v>(-) SALDO A LIBERAR</v>
          </cell>
          <cell r="F147">
            <v>0</v>
          </cell>
          <cell r="G147">
            <v>189.48</v>
          </cell>
        </row>
        <row r="148">
          <cell r="A148">
            <v>137</v>
          </cell>
          <cell r="B148" t="str">
            <v>15/04  </v>
          </cell>
          <cell r="C148">
            <v>0</v>
          </cell>
          <cell r="D148">
            <v>0</v>
          </cell>
          <cell r="E148" t="str">
            <v>SALDO FINAL DISPONIVEL</v>
          </cell>
          <cell r="F148">
            <v>0</v>
          </cell>
          <cell r="G148">
            <v>1190739</v>
          </cell>
        </row>
        <row r="149">
          <cell r="A149">
            <v>138</v>
          </cell>
          <cell r="B149" t="str">
            <v>18/04  </v>
          </cell>
          <cell r="C149">
            <v>0</v>
          </cell>
          <cell r="D149">
            <v>0</v>
          </cell>
          <cell r="E149" t="str">
            <v>SISPAG FORNECEDORES</v>
          </cell>
          <cell r="F149">
            <v>-136.19</v>
          </cell>
          <cell r="G149">
            <v>0</v>
          </cell>
        </row>
        <row r="150">
          <cell r="A150">
            <v>139</v>
          </cell>
          <cell r="B150" t="str">
            <v>18/04  </v>
          </cell>
          <cell r="C150">
            <v>0</v>
          </cell>
          <cell r="D150">
            <v>0</v>
          </cell>
          <cell r="E150" t="str">
            <v>SISPAG FORNECEDORES</v>
          </cell>
          <cell r="F150">
            <v>-13796.01</v>
          </cell>
          <cell r="G150">
            <v>0</v>
          </cell>
        </row>
        <row r="151">
          <cell r="A151">
            <v>140</v>
          </cell>
          <cell r="B151" t="str">
            <v>18/04  </v>
          </cell>
          <cell r="C151">
            <v>0</v>
          </cell>
          <cell r="D151">
            <v>0</v>
          </cell>
          <cell r="E151" t="str">
            <v>SISPAG FORNECEDORES</v>
          </cell>
          <cell r="F151">
            <v>-279584.28999999998</v>
          </cell>
          <cell r="G151">
            <v>0</v>
          </cell>
        </row>
        <row r="152">
          <cell r="A152">
            <v>141</v>
          </cell>
          <cell r="B152" t="str">
            <v>18/04  </v>
          </cell>
          <cell r="C152">
            <v>0</v>
          </cell>
          <cell r="D152">
            <v>0</v>
          </cell>
          <cell r="E152" t="str">
            <v>SISPAG FORNECEDORES TED</v>
          </cell>
          <cell r="F152">
            <v>-1998</v>
          </cell>
          <cell r="G152">
            <v>0</v>
          </cell>
        </row>
        <row r="153">
          <cell r="A153">
            <v>142</v>
          </cell>
          <cell r="B153" t="str">
            <v>18/04  </v>
          </cell>
          <cell r="C153" t="str">
            <v>D</v>
          </cell>
          <cell r="D153">
            <v>0</v>
          </cell>
          <cell r="E153" t="str">
            <v>SISPAG FORNECEDORES</v>
          </cell>
          <cell r="F153">
            <v>-258330.71</v>
          </cell>
          <cell r="G153">
            <v>0</v>
          </cell>
        </row>
        <row r="154">
          <cell r="A154">
            <v>143</v>
          </cell>
          <cell r="B154" t="str">
            <v>18/04  </v>
          </cell>
          <cell r="C154">
            <v>0</v>
          </cell>
          <cell r="D154">
            <v>0</v>
          </cell>
          <cell r="E154" t="str">
            <v>COLETA DIN</v>
          </cell>
          <cell r="F154">
            <v>16000</v>
          </cell>
          <cell r="G154">
            <v>0</v>
          </cell>
        </row>
        <row r="155">
          <cell r="A155">
            <v>144</v>
          </cell>
          <cell r="B155" t="str">
            <v>18/04  </v>
          </cell>
          <cell r="C155">
            <v>0</v>
          </cell>
          <cell r="D155">
            <v>0</v>
          </cell>
          <cell r="E155" t="str">
            <v>COLETA DIN</v>
          </cell>
          <cell r="F155">
            <v>141000</v>
          </cell>
          <cell r="G155">
            <v>0</v>
          </cell>
        </row>
        <row r="156">
          <cell r="A156">
            <v>145</v>
          </cell>
          <cell r="B156" t="str">
            <v>18/04  </v>
          </cell>
          <cell r="C156">
            <v>0</v>
          </cell>
          <cell r="D156">
            <v>0</v>
          </cell>
          <cell r="E156" t="str">
            <v>TRANSF 7649.14595-5</v>
          </cell>
          <cell r="F156">
            <v>5753.21</v>
          </cell>
          <cell r="G156">
            <v>0</v>
          </cell>
        </row>
        <row r="157">
          <cell r="A157">
            <v>146</v>
          </cell>
          <cell r="B157" t="str">
            <v>18/04  </v>
          </cell>
          <cell r="C157">
            <v>0</v>
          </cell>
          <cell r="D157">
            <v>0</v>
          </cell>
          <cell r="E157" t="str">
            <v>TRANSF 7649.14595-5</v>
          </cell>
          <cell r="F157">
            <v>2199.84</v>
          </cell>
          <cell r="G157">
            <v>0</v>
          </cell>
        </row>
        <row r="158">
          <cell r="A158">
            <v>147</v>
          </cell>
          <cell r="B158" t="str">
            <v>18/04  </v>
          </cell>
          <cell r="C158">
            <v>0</v>
          </cell>
          <cell r="D158">
            <v>0</v>
          </cell>
          <cell r="E158" t="str">
            <v>TRANSF 7649.23054-2</v>
          </cell>
          <cell r="F158">
            <v>245746.56</v>
          </cell>
          <cell r="G158">
            <v>0</v>
          </cell>
        </row>
        <row r="159">
          <cell r="A159">
            <v>148</v>
          </cell>
          <cell r="B159" t="str">
            <v>18/04  </v>
          </cell>
          <cell r="C159">
            <v>0</v>
          </cell>
          <cell r="D159">
            <v>0</v>
          </cell>
          <cell r="E159" t="str">
            <v>TRANSF 7649.23054-2</v>
          </cell>
          <cell r="F159">
            <v>240.15</v>
          </cell>
          <cell r="G159">
            <v>0</v>
          </cell>
        </row>
        <row r="160">
          <cell r="A160">
            <v>149</v>
          </cell>
          <cell r="B160" t="str">
            <v>18/04  </v>
          </cell>
          <cell r="C160">
            <v>0</v>
          </cell>
          <cell r="D160">
            <v>0</v>
          </cell>
          <cell r="E160" t="str">
            <v>TRANSF 7649.23054-2</v>
          </cell>
          <cell r="F160">
            <v>241941.77</v>
          </cell>
          <cell r="G160">
            <v>0</v>
          </cell>
        </row>
        <row r="161">
          <cell r="A161">
            <v>150</v>
          </cell>
          <cell r="B161" t="str">
            <v>18/04  </v>
          </cell>
          <cell r="C161">
            <v>0</v>
          </cell>
          <cell r="D161">
            <v>0</v>
          </cell>
          <cell r="E161" t="str">
            <v>MOV TIT COB DISP 18/04S</v>
          </cell>
          <cell r="F161">
            <v>1097.19</v>
          </cell>
          <cell r="G161">
            <v>0</v>
          </cell>
        </row>
        <row r="162">
          <cell r="A162">
            <v>151</v>
          </cell>
          <cell r="B162" t="str">
            <v>18/04  </v>
          </cell>
          <cell r="C162">
            <v>0</v>
          </cell>
          <cell r="D162">
            <v>0</v>
          </cell>
          <cell r="E162" t="str">
            <v>SDO CTA/APL AUTOMATICAS</v>
          </cell>
          <cell r="F162">
            <v>0</v>
          </cell>
          <cell r="G162">
            <v>1291062</v>
          </cell>
        </row>
        <row r="163">
          <cell r="A163">
            <v>152</v>
          </cell>
          <cell r="B163" t="str">
            <v>19/04  </v>
          </cell>
          <cell r="C163">
            <v>0</v>
          </cell>
          <cell r="D163">
            <v>0</v>
          </cell>
          <cell r="E163" t="str">
            <v>SISPAG FORNECEDORES</v>
          </cell>
          <cell r="F163">
            <v>-79345.460000000006</v>
          </cell>
          <cell r="G163">
            <v>0</v>
          </cell>
        </row>
        <row r="164">
          <cell r="A164">
            <v>153</v>
          </cell>
          <cell r="B164" t="str">
            <v>19/04  </v>
          </cell>
          <cell r="C164">
            <v>0</v>
          </cell>
          <cell r="D164">
            <v>0</v>
          </cell>
          <cell r="E164" t="str">
            <v>SISPAG FORNECEDORES</v>
          </cell>
          <cell r="F164">
            <v>-9411.5</v>
          </cell>
          <cell r="G164">
            <v>0</v>
          </cell>
        </row>
        <row r="165">
          <cell r="A165">
            <v>154</v>
          </cell>
          <cell r="B165" t="str">
            <v>19/04  </v>
          </cell>
          <cell r="C165">
            <v>0</v>
          </cell>
          <cell r="D165">
            <v>0</v>
          </cell>
          <cell r="E165" t="str">
            <v>SISPAG FORNECEDORES TED</v>
          </cell>
          <cell r="F165">
            <v>-4730</v>
          </cell>
          <cell r="G165">
            <v>0</v>
          </cell>
        </row>
        <row r="166">
          <cell r="A166">
            <v>155</v>
          </cell>
          <cell r="B166" t="str">
            <v>19/04  </v>
          </cell>
          <cell r="C166" t="str">
            <v>D</v>
          </cell>
          <cell r="D166">
            <v>0</v>
          </cell>
          <cell r="E166" t="str">
            <v>SISPAG FORNECEDORES</v>
          </cell>
          <cell r="F166">
            <v>-95225.19</v>
          </cell>
          <cell r="G166">
            <v>0</v>
          </cell>
        </row>
        <row r="167">
          <cell r="A167">
            <v>156</v>
          </cell>
          <cell r="B167" t="str">
            <v>19/04  </v>
          </cell>
          <cell r="C167">
            <v>0</v>
          </cell>
          <cell r="D167">
            <v>0</v>
          </cell>
          <cell r="E167" t="str">
            <v>COLETA DIN</v>
          </cell>
          <cell r="F167">
            <v>32000</v>
          </cell>
          <cell r="G167">
            <v>0</v>
          </cell>
        </row>
        <row r="168">
          <cell r="A168">
            <v>157</v>
          </cell>
          <cell r="B168" t="str">
            <v>19/04  </v>
          </cell>
          <cell r="C168">
            <v>0</v>
          </cell>
          <cell r="D168">
            <v>0</v>
          </cell>
          <cell r="E168" t="str">
            <v>TRANSF 7649.14595-5</v>
          </cell>
          <cell r="F168">
            <v>3063.23</v>
          </cell>
          <cell r="G168">
            <v>0</v>
          </cell>
        </row>
        <row r="169">
          <cell r="A169">
            <v>158</v>
          </cell>
          <cell r="B169" t="str">
            <v>19/04  </v>
          </cell>
          <cell r="C169">
            <v>0</v>
          </cell>
          <cell r="D169">
            <v>0</v>
          </cell>
          <cell r="E169" t="str">
            <v>TRANSF 7649.14595-5</v>
          </cell>
          <cell r="F169">
            <v>1172.52</v>
          </cell>
          <cell r="G169">
            <v>0</v>
          </cell>
        </row>
        <row r="170">
          <cell r="A170">
            <v>159</v>
          </cell>
          <cell r="B170" t="str">
            <v>19/04  </v>
          </cell>
          <cell r="C170">
            <v>0</v>
          </cell>
          <cell r="D170">
            <v>0</v>
          </cell>
          <cell r="E170" t="str">
            <v>TRANSF 7649.23054-2</v>
          </cell>
          <cell r="F170">
            <v>112837.78</v>
          </cell>
          <cell r="G170">
            <v>0</v>
          </cell>
        </row>
        <row r="171">
          <cell r="A171">
            <v>160</v>
          </cell>
          <cell r="B171" t="str">
            <v>19/04  </v>
          </cell>
          <cell r="C171">
            <v>0</v>
          </cell>
          <cell r="D171">
            <v>0</v>
          </cell>
          <cell r="E171" t="str">
            <v>TRANSF 7649.23054-2</v>
          </cell>
          <cell r="F171">
            <v>14.81</v>
          </cell>
          <cell r="G171">
            <v>0</v>
          </cell>
        </row>
        <row r="172">
          <cell r="A172">
            <v>161</v>
          </cell>
          <cell r="B172" t="str">
            <v>19/04  </v>
          </cell>
          <cell r="C172">
            <v>0</v>
          </cell>
          <cell r="D172">
            <v>0</v>
          </cell>
          <cell r="E172" t="str">
            <v>TRANSF 7649.23054-2</v>
          </cell>
          <cell r="F172">
            <v>54225.64</v>
          </cell>
          <cell r="G172">
            <v>0</v>
          </cell>
        </row>
        <row r="173">
          <cell r="A173">
            <v>162</v>
          </cell>
          <cell r="B173" t="str">
            <v>19/04  </v>
          </cell>
          <cell r="C173">
            <v>0</v>
          </cell>
          <cell r="D173">
            <v>0</v>
          </cell>
          <cell r="E173" t="str">
            <v>SDO CTA/APL AUTOMATICAS</v>
          </cell>
          <cell r="F173">
            <v>0</v>
          </cell>
          <cell r="G173">
            <v>1305663.83</v>
          </cell>
        </row>
        <row r="174">
          <cell r="A174">
            <v>163</v>
          </cell>
          <cell r="B174" t="str">
            <v>20/04  </v>
          </cell>
          <cell r="C174">
            <v>0</v>
          </cell>
          <cell r="D174">
            <v>0</v>
          </cell>
          <cell r="E174" t="str">
            <v>SISPAG TRIBUTOS</v>
          </cell>
          <cell r="F174">
            <v>-10961.1</v>
          </cell>
          <cell r="G174">
            <v>0</v>
          </cell>
        </row>
        <row r="175">
          <cell r="A175">
            <v>164</v>
          </cell>
          <cell r="B175" t="str">
            <v>20/04  </v>
          </cell>
          <cell r="C175">
            <v>0</v>
          </cell>
          <cell r="D175">
            <v>0</v>
          </cell>
          <cell r="E175" t="str">
            <v>SISPAG TRIBUTOS</v>
          </cell>
          <cell r="F175">
            <v>-2196.73</v>
          </cell>
          <cell r="G175">
            <v>0</v>
          </cell>
        </row>
        <row r="176">
          <cell r="A176">
            <v>165</v>
          </cell>
          <cell r="B176" t="str">
            <v>20/04  </v>
          </cell>
          <cell r="C176">
            <v>0</v>
          </cell>
          <cell r="D176">
            <v>0</v>
          </cell>
          <cell r="E176" t="str">
            <v>SISPAG TRIBUTOS</v>
          </cell>
          <cell r="F176">
            <v>-211552.48</v>
          </cell>
          <cell r="G176">
            <v>0</v>
          </cell>
        </row>
        <row r="177">
          <cell r="A177">
            <v>166</v>
          </cell>
          <cell r="B177" t="str">
            <v>20/04  </v>
          </cell>
          <cell r="C177">
            <v>0</v>
          </cell>
          <cell r="D177">
            <v>0</v>
          </cell>
          <cell r="E177" t="str">
            <v>SISPAG TRIBUTOS</v>
          </cell>
          <cell r="F177">
            <v>-577016.26</v>
          </cell>
          <cell r="G177">
            <v>0</v>
          </cell>
        </row>
        <row r="178">
          <cell r="A178">
            <v>167</v>
          </cell>
          <cell r="B178" t="str">
            <v>20/04  </v>
          </cell>
          <cell r="C178">
            <v>0</v>
          </cell>
          <cell r="D178">
            <v>0</v>
          </cell>
          <cell r="E178" t="str">
            <v>SISPAG FORNECEDORES</v>
          </cell>
          <cell r="F178">
            <v>-68162.77</v>
          </cell>
          <cell r="G178">
            <v>0</v>
          </cell>
        </row>
        <row r="179">
          <cell r="A179">
            <v>168</v>
          </cell>
          <cell r="B179" t="str">
            <v>20/04  </v>
          </cell>
          <cell r="C179">
            <v>0</v>
          </cell>
          <cell r="D179">
            <v>0</v>
          </cell>
          <cell r="E179" t="str">
            <v>SISPAG FORNECEDORES</v>
          </cell>
          <cell r="F179">
            <v>-2863.9</v>
          </cell>
          <cell r="G179">
            <v>0</v>
          </cell>
        </row>
        <row r="180">
          <cell r="A180">
            <v>169</v>
          </cell>
          <cell r="B180" t="str">
            <v>20/04  </v>
          </cell>
          <cell r="C180">
            <v>0</v>
          </cell>
          <cell r="D180">
            <v>0</v>
          </cell>
          <cell r="E180" t="str">
            <v>SISPAG FORNECEDORES</v>
          </cell>
          <cell r="F180">
            <v>-2666</v>
          </cell>
          <cell r="G180">
            <v>0</v>
          </cell>
        </row>
        <row r="181">
          <cell r="A181">
            <v>170</v>
          </cell>
          <cell r="B181" t="str">
            <v>20/04  </v>
          </cell>
          <cell r="C181" t="str">
            <v>D</v>
          </cell>
          <cell r="D181">
            <v>0</v>
          </cell>
          <cell r="E181" t="str">
            <v>SISPAG FORNECEDORES</v>
          </cell>
          <cell r="F181">
            <v>-224760.17</v>
          </cell>
          <cell r="G181">
            <v>0</v>
          </cell>
        </row>
        <row r="182">
          <cell r="A182">
            <v>171</v>
          </cell>
          <cell r="B182" t="str">
            <v>20/04  </v>
          </cell>
          <cell r="C182">
            <v>0</v>
          </cell>
          <cell r="D182">
            <v>0</v>
          </cell>
          <cell r="E182" t="str">
            <v>COLETA DIN</v>
          </cell>
          <cell r="F182">
            <v>25000</v>
          </cell>
          <cell r="G182">
            <v>0</v>
          </cell>
        </row>
        <row r="183">
          <cell r="A183">
            <v>172</v>
          </cell>
          <cell r="B183" t="str">
            <v>20/04  </v>
          </cell>
          <cell r="C183">
            <v>0</v>
          </cell>
          <cell r="D183">
            <v>0</v>
          </cell>
          <cell r="E183" t="str">
            <v>TRANSF 7649.14595-5</v>
          </cell>
          <cell r="F183">
            <v>1852.04</v>
          </cell>
          <cell r="G183">
            <v>0</v>
          </cell>
        </row>
        <row r="184">
          <cell r="A184">
            <v>173</v>
          </cell>
          <cell r="B184" t="str">
            <v>20/04  </v>
          </cell>
          <cell r="C184">
            <v>0</v>
          </cell>
          <cell r="D184">
            <v>0</v>
          </cell>
          <cell r="E184" t="str">
            <v>TRANSF 7649.14595-5</v>
          </cell>
          <cell r="F184">
            <v>285.77999999999997</v>
          </cell>
          <cell r="G184">
            <v>0</v>
          </cell>
        </row>
        <row r="185">
          <cell r="A185">
            <v>174</v>
          </cell>
          <cell r="B185" t="str">
            <v>20/04  </v>
          </cell>
          <cell r="C185">
            <v>0</v>
          </cell>
          <cell r="D185">
            <v>0</v>
          </cell>
          <cell r="E185" t="str">
            <v>TRANSF 7649.23054-2</v>
          </cell>
          <cell r="F185">
            <v>73423.02</v>
          </cell>
          <cell r="G185">
            <v>0</v>
          </cell>
        </row>
        <row r="186">
          <cell r="A186">
            <v>175</v>
          </cell>
          <cell r="B186" t="str">
            <v>20/04  </v>
          </cell>
          <cell r="C186">
            <v>0</v>
          </cell>
          <cell r="D186">
            <v>0</v>
          </cell>
          <cell r="E186" t="str">
            <v>TRANSF 7649.23054-2</v>
          </cell>
          <cell r="F186">
            <v>60341.74</v>
          </cell>
          <cell r="G186">
            <v>0</v>
          </cell>
        </row>
        <row r="187">
          <cell r="A187">
            <v>176</v>
          </cell>
          <cell r="B187" t="str">
            <v>20/04  </v>
          </cell>
          <cell r="C187" t="str">
            <v>C</v>
          </cell>
          <cell r="D187">
            <v>0</v>
          </cell>
          <cell r="E187" t="str">
            <v>MOV TIT COBRANCA 20/04S</v>
          </cell>
          <cell r="F187">
            <v>279.2</v>
          </cell>
          <cell r="G187">
            <v>0</v>
          </cell>
        </row>
        <row r="188">
          <cell r="A188">
            <v>177</v>
          </cell>
          <cell r="B188" t="str">
            <v>20/04  </v>
          </cell>
          <cell r="C188">
            <v>0</v>
          </cell>
          <cell r="D188">
            <v>0</v>
          </cell>
          <cell r="E188" t="str">
            <v>REND PAGO APLIC AUT MAIS</v>
          </cell>
          <cell r="F188">
            <v>181.27</v>
          </cell>
          <cell r="G188">
            <v>0</v>
          </cell>
        </row>
        <row r="189">
          <cell r="A189">
            <v>178</v>
          </cell>
          <cell r="B189" t="str">
            <v>20/04  </v>
          </cell>
          <cell r="C189">
            <v>0</v>
          </cell>
          <cell r="D189">
            <v>0</v>
          </cell>
          <cell r="E189" t="str">
            <v>SDO CTA/APL AUTOMATICAS</v>
          </cell>
          <cell r="F189">
            <v>0</v>
          </cell>
          <cell r="G189">
            <v>366847.47</v>
          </cell>
        </row>
        <row r="190">
          <cell r="A190">
            <v>179</v>
          </cell>
          <cell r="B190" t="str">
            <v>20/04  </v>
          </cell>
          <cell r="C190">
            <v>0</v>
          </cell>
          <cell r="D190">
            <v>0</v>
          </cell>
          <cell r="E190" t="str">
            <v>(-) SALDO A LIBERAR</v>
          </cell>
          <cell r="F190">
            <v>0</v>
          </cell>
          <cell r="G190">
            <v>279.2</v>
          </cell>
        </row>
        <row r="191">
          <cell r="A191">
            <v>180</v>
          </cell>
          <cell r="B191" t="str">
            <v>20/04  </v>
          </cell>
          <cell r="C191">
            <v>0</v>
          </cell>
          <cell r="D191">
            <v>0</v>
          </cell>
          <cell r="E191" t="str">
            <v>SALDO FINAL DISPONIVEL</v>
          </cell>
          <cell r="F191">
            <v>0</v>
          </cell>
          <cell r="G191">
            <v>366568.27</v>
          </cell>
        </row>
        <row r="192">
          <cell r="A192">
            <v>181</v>
          </cell>
          <cell r="B192" t="str">
            <v>22/04  </v>
          </cell>
          <cell r="C192">
            <v>0</v>
          </cell>
          <cell r="D192">
            <v>0</v>
          </cell>
          <cell r="E192" t="str">
            <v>SISPAG FORNECEDORES</v>
          </cell>
          <cell r="F192">
            <v>-157657.71</v>
          </cell>
          <cell r="G192">
            <v>0</v>
          </cell>
        </row>
        <row r="193">
          <cell r="A193">
            <v>182</v>
          </cell>
          <cell r="B193" t="str">
            <v>22/04  </v>
          </cell>
          <cell r="C193">
            <v>0</v>
          </cell>
          <cell r="D193">
            <v>0</v>
          </cell>
          <cell r="E193" t="str">
            <v>SISPAG FORNECEDORES</v>
          </cell>
          <cell r="F193">
            <v>-55217.599999999999</v>
          </cell>
          <cell r="G193">
            <v>0</v>
          </cell>
        </row>
        <row r="194">
          <cell r="A194">
            <v>183</v>
          </cell>
          <cell r="B194" t="str">
            <v>22/04  </v>
          </cell>
          <cell r="C194">
            <v>0</v>
          </cell>
          <cell r="D194">
            <v>0</v>
          </cell>
          <cell r="E194" t="str">
            <v>SISPAG FORNECEDORES TED</v>
          </cell>
          <cell r="F194">
            <v>-74526</v>
          </cell>
          <cell r="G194">
            <v>0</v>
          </cell>
        </row>
        <row r="195">
          <cell r="A195">
            <v>184</v>
          </cell>
          <cell r="B195" t="str">
            <v>22/04  </v>
          </cell>
          <cell r="C195" t="str">
            <v>D</v>
          </cell>
          <cell r="D195">
            <v>0</v>
          </cell>
          <cell r="E195" t="str">
            <v>SISPAG FORNECEDORES</v>
          </cell>
          <cell r="F195">
            <v>-142278.94</v>
          </cell>
          <cell r="G195">
            <v>0</v>
          </cell>
        </row>
        <row r="196">
          <cell r="A196">
            <v>185</v>
          </cell>
          <cell r="B196" t="str">
            <v>22/04  </v>
          </cell>
          <cell r="C196">
            <v>0</v>
          </cell>
          <cell r="D196">
            <v>0</v>
          </cell>
          <cell r="E196" t="str">
            <v>COLETA DIN</v>
          </cell>
          <cell r="F196">
            <v>15000</v>
          </cell>
          <cell r="G196">
            <v>0</v>
          </cell>
        </row>
        <row r="197">
          <cell r="A197">
            <v>186</v>
          </cell>
          <cell r="B197" t="str">
            <v>22/04  </v>
          </cell>
          <cell r="C197">
            <v>0</v>
          </cell>
          <cell r="D197">
            <v>0</v>
          </cell>
          <cell r="E197" t="str">
            <v>COLETA DIN</v>
          </cell>
          <cell r="F197">
            <v>92000</v>
          </cell>
          <cell r="G197">
            <v>0</v>
          </cell>
        </row>
        <row r="198">
          <cell r="A198">
            <v>187</v>
          </cell>
          <cell r="B198" t="str">
            <v>22/04  </v>
          </cell>
          <cell r="C198">
            <v>0</v>
          </cell>
          <cell r="D198">
            <v>0</v>
          </cell>
          <cell r="E198" t="str">
            <v>TRANSF 7649.14595-5</v>
          </cell>
          <cell r="F198">
            <v>3496.24</v>
          </cell>
          <cell r="G198">
            <v>0</v>
          </cell>
        </row>
        <row r="199">
          <cell r="A199">
            <v>188</v>
          </cell>
          <cell r="B199" t="str">
            <v>22/04  </v>
          </cell>
          <cell r="C199">
            <v>0</v>
          </cell>
          <cell r="D199">
            <v>0</v>
          </cell>
          <cell r="E199" t="str">
            <v>TRANSF 7649.14595-5</v>
          </cell>
          <cell r="F199">
            <v>1041.21</v>
          </cell>
          <cell r="G199">
            <v>0</v>
          </cell>
        </row>
        <row r="200">
          <cell r="A200">
            <v>189</v>
          </cell>
          <cell r="B200" t="str">
            <v>22/04  </v>
          </cell>
          <cell r="C200">
            <v>0</v>
          </cell>
          <cell r="D200">
            <v>0</v>
          </cell>
          <cell r="E200" t="str">
            <v>TRANSF 7649.23054-2</v>
          </cell>
          <cell r="F200">
            <v>192863.14</v>
          </cell>
          <cell r="G200">
            <v>0</v>
          </cell>
        </row>
        <row r="201">
          <cell r="A201">
            <v>190</v>
          </cell>
          <cell r="B201" t="str">
            <v>22/04  </v>
          </cell>
          <cell r="C201">
            <v>0</v>
          </cell>
          <cell r="D201">
            <v>0</v>
          </cell>
          <cell r="E201" t="str">
            <v>TRANSF 7649.23054-2</v>
          </cell>
          <cell r="F201">
            <v>133504.69</v>
          </cell>
          <cell r="G201">
            <v>0</v>
          </cell>
        </row>
        <row r="202">
          <cell r="A202">
            <v>191</v>
          </cell>
          <cell r="B202" t="str">
            <v>22/04  </v>
          </cell>
          <cell r="C202" t="str">
            <v>C</v>
          </cell>
          <cell r="D202">
            <v>0</v>
          </cell>
          <cell r="E202" t="str">
            <v>MOV TIT COBRANCA 22/04S</v>
          </cell>
          <cell r="F202">
            <v>187.42</v>
          </cell>
          <cell r="G202">
            <v>0</v>
          </cell>
        </row>
        <row r="203">
          <cell r="A203">
            <v>192</v>
          </cell>
          <cell r="B203" t="str">
            <v>22/04  </v>
          </cell>
          <cell r="C203">
            <v>0</v>
          </cell>
          <cell r="D203">
            <v>0</v>
          </cell>
          <cell r="E203" t="str">
            <v>SDO CTA/APL AUTOMATICAS</v>
          </cell>
          <cell r="F203">
            <v>0</v>
          </cell>
          <cell r="G203">
            <v>375259.92</v>
          </cell>
        </row>
        <row r="204">
          <cell r="A204">
            <v>193</v>
          </cell>
          <cell r="B204" t="str">
            <v>22/04  </v>
          </cell>
          <cell r="C204">
            <v>0</v>
          </cell>
          <cell r="D204">
            <v>0</v>
          </cell>
          <cell r="E204" t="str">
            <v>(-) SALDO A LIBERAR</v>
          </cell>
          <cell r="F204">
            <v>0</v>
          </cell>
          <cell r="G204">
            <v>187.42</v>
          </cell>
        </row>
        <row r="205">
          <cell r="A205">
            <v>194</v>
          </cell>
          <cell r="B205" t="str">
            <v>22/04  </v>
          </cell>
          <cell r="C205">
            <v>0</v>
          </cell>
          <cell r="D205">
            <v>0</v>
          </cell>
          <cell r="E205" t="str">
            <v>SALDO FINAL DISPONIVEL</v>
          </cell>
          <cell r="F205">
            <v>0</v>
          </cell>
          <cell r="G205">
            <v>375072.5</v>
          </cell>
        </row>
        <row r="206">
          <cell r="A206">
            <v>195</v>
          </cell>
          <cell r="B206" t="str">
            <v>25/04  </v>
          </cell>
          <cell r="C206">
            <v>0</v>
          </cell>
          <cell r="D206">
            <v>0</v>
          </cell>
          <cell r="E206" t="str">
            <v>SISPAG TRIBUTOS</v>
          </cell>
          <cell r="F206">
            <v>-314222.69</v>
          </cell>
          <cell r="G206">
            <v>0</v>
          </cell>
        </row>
        <row r="207">
          <cell r="A207">
            <v>196</v>
          </cell>
          <cell r="B207" t="str">
            <v>25/04  </v>
          </cell>
          <cell r="C207">
            <v>0</v>
          </cell>
          <cell r="D207">
            <v>0</v>
          </cell>
          <cell r="E207" t="str">
            <v>SISPAG TRIBUTOS</v>
          </cell>
          <cell r="F207">
            <v>-4389.17</v>
          </cell>
          <cell r="G207">
            <v>0</v>
          </cell>
        </row>
        <row r="208">
          <cell r="A208">
            <v>197</v>
          </cell>
          <cell r="B208" t="str">
            <v>25/04  </v>
          </cell>
          <cell r="C208">
            <v>0</v>
          </cell>
          <cell r="D208">
            <v>0</v>
          </cell>
          <cell r="E208" t="str">
            <v>SISPAG FORNECEDORES</v>
          </cell>
          <cell r="F208">
            <v>-310.94</v>
          </cell>
          <cell r="G208">
            <v>0</v>
          </cell>
        </row>
        <row r="209">
          <cell r="A209">
            <v>198</v>
          </cell>
          <cell r="B209" t="str">
            <v>25/04  </v>
          </cell>
          <cell r="C209">
            <v>0</v>
          </cell>
          <cell r="D209">
            <v>0</v>
          </cell>
          <cell r="E209" t="str">
            <v>SISPAG FORNECEDORES</v>
          </cell>
          <cell r="F209">
            <v>-178852.52</v>
          </cell>
          <cell r="G209">
            <v>0</v>
          </cell>
        </row>
        <row r="210">
          <cell r="A210">
            <v>199</v>
          </cell>
          <cell r="B210" t="str">
            <v>25/04  </v>
          </cell>
          <cell r="C210">
            <v>0</v>
          </cell>
          <cell r="D210">
            <v>0</v>
          </cell>
          <cell r="E210" t="str">
            <v>SISPAG FORNECEDORES</v>
          </cell>
          <cell r="F210">
            <v>-240</v>
          </cell>
          <cell r="G210">
            <v>0</v>
          </cell>
        </row>
        <row r="211">
          <cell r="A211">
            <v>200</v>
          </cell>
          <cell r="B211" t="str">
            <v>25/04  </v>
          </cell>
          <cell r="C211">
            <v>0</v>
          </cell>
          <cell r="D211">
            <v>0</v>
          </cell>
          <cell r="E211" t="str">
            <v>SISPAG FORNECEDORES TED</v>
          </cell>
          <cell r="F211">
            <v>-5210</v>
          </cell>
          <cell r="G211">
            <v>0</v>
          </cell>
        </row>
        <row r="212">
          <cell r="A212">
            <v>201</v>
          </cell>
          <cell r="B212" t="str">
            <v>25/04  </v>
          </cell>
          <cell r="C212" t="str">
            <v>D</v>
          </cell>
          <cell r="D212">
            <v>0</v>
          </cell>
          <cell r="E212" t="str">
            <v>SISPAG FORNECEDORES</v>
          </cell>
          <cell r="F212">
            <v>-228198.59</v>
          </cell>
          <cell r="G212">
            <v>0</v>
          </cell>
        </row>
        <row r="213">
          <cell r="A213">
            <v>202</v>
          </cell>
          <cell r="B213" t="str">
            <v>25/04  </v>
          </cell>
          <cell r="C213">
            <v>0</v>
          </cell>
          <cell r="D213">
            <v>0</v>
          </cell>
          <cell r="E213" t="str">
            <v>COLETA DIN</v>
          </cell>
          <cell r="F213">
            <v>53000</v>
          </cell>
          <cell r="G213">
            <v>0</v>
          </cell>
        </row>
        <row r="214">
          <cell r="A214">
            <v>203</v>
          </cell>
          <cell r="B214" t="str">
            <v>25/04  </v>
          </cell>
          <cell r="C214">
            <v>0</v>
          </cell>
          <cell r="D214">
            <v>0</v>
          </cell>
          <cell r="E214" t="str">
            <v>COLETA DIN</v>
          </cell>
          <cell r="F214">
            <v>94000</v>
          </cell>
          <cell r="G214">
            <v>0</v>
          </cell>
        </row>
        <row r="215">
          <cell r="A215">
            <v>204</v>
          </cell>
          <cell r="B215" t="str">
            <v>25/04  </v>
          </cell>
          <cell r="C215">
            <v>0</v>
          </cell>
          <cell r="D215">
            <v>0</v>
          </cell>
          <cell r="E215" t="str">
            <v>TRANSF 7649.14595-5</v>
          </cell>
          <cell r="F215">
            <v>4591.0600000000004</v>
          </cell>
          <cell r="G215">
            <v>0</v>
          </cell>
        </row>
        <row r="216">
          <cell r="A216">
            <v>205</v>
          </cell>
          <cell r="B216" t="str">
            <v>25/04  </v>
          </cell>
          <cell r="C216">
            <v>0</v>
          </cell>
          <cell r="D216">
            <v>0</v>
          </cell>
          <cell r="E216" t="str">
            <v>TRANSF 7649.14595-5</v>
          </cell>
          <cell r="F216">
            <v>3182.93</v>
          </cell>
          <cell r="G216">
            <v>0</v>
          </cell>
        </row>
        <row r="217">
          <cell r="A217">
            <v>206</v>
          </cell>
          <cell r="B217" t="str">
            <v>25/04  </v>
          </cell>
          <cell r="C217">
            <v>0</v>
          </cell>
          <cell r="D217">
            <v>0</v>
          </cell>
          <cell r="E217" t="str">
            <v>TRANSF 7649.23054-2</v>
          </cell>
          <cell r="F217">
            <v>200349.83</v>
          </cell>
          <cell r="G217">
            <v>0</v>
          </cell>
        </row>
        <row r="218">
          <cell r="A218">
            <v>207</v>
          </cell>
          <cell r="B218" t="str">
            <v>25/04  </v>
          </cell>
          <cell r="C218">
            <v>0</v>
          </cell>
          <cell r="D218">
            <v>0</v>
          </cell>
          <cell r="E218" t="str">
            <v>TRANSF 7649.23054-2</v>
          </cell>
          <cell r="F218">
            <v>252740.97</v>
          </cell>
          <cell r="G218">
            <v>0</v>
          </cell>
        </row>
        <row r="219">
          <cell r="A219">
            <v>208</v>
          </cell>
          <cell r="B219" t="str">
            <v>25/04  </v>
          </cell>
          <cell r="C219" t="str">
            <v>C</v>
          </cell>
          <cell r="D219">
            <v>0</v>
          </cell>
          <cell r="E219" t="str">
            <v>MOV TIT COBRANCA 25/04S</v>
          </cell>
          <cell r="F219">
            <v>379.5</v>
          </cell>
          <cell r="G219">
            <v>0</v>
          </cell>
        </row>
        <row r="220">
          <cell r="A220">
            <v>209</v>
          </cell>
          <cell r="B220" t="str">
            <v>25/04  </v>
          </cell>
          <cell r="C220">
            <v>0</v>
          </cell>
          <cell r="D220">
            <v>0</v>
          </cell>
          <cell r="E220" t="str">
            <v>REND PAGO APLIC AUT MAIS</v>
          </cell>
          <cell r="F220">
            <v>7.64</v>
          </cell>
          <cell r="G220">
            <v>0</v>
          </cell>
        </row>
        <row r="221">
          <cell r="A221">
            <v>210</v>
          </cell>
          <cell r="B221" t="str">
            <v>25/04  </v>
          </cell>
          <cell r="C221">
            <v>0</v>
          </cell>
          <cell r="D221">
            <v>0</v>
          </cell>
          <cell r="E221" t="str">
            <v>SDO CTA/APL AUTOMATICAS</v>
          </cell>
          <cell r="F221">
            <v>0</v>
          </cell>
          <cell r="G221">
            <v>252087.94</v>
          </cell>
        </row>
        <row r="222">
          <cell r="A222">
            <v>211</v>
          </cell>
          <cell r="B222" t="str">
            <v>25/04  </v>
          </cell>
          <cell r="C222">
            <v>0</v>
          </cell>
          <cell r="D222">
            <v>0</v>
          </cell>
          <cell r="E222" t="str">
            <v>(-) SALDO A LIBERAR</v>
          </cell>
          <cell r="F222">
            <v>0</v>
          </cell>
          <cell r="G222">
            <v>379.5</v>
          </cell>
        </row>
        <row r="223">
          <cell r="A223">
            <v>212</v>
          </cell>
          <cell r="B223" t="str">
            <v>25/04  </v>
          </cell>
          <cell r="C223">
            <v>0</v>
          </cell>
          <cell r="D223">
            <v>0</v>
          </cell>
          <cell r="E223" t="str">
            <v>SALDO FINAL DISPONIVEL</v>
          </cell>
          <cell r="F223">
            <v>0</v>
          </cell>
          <cell r="G223">
            <v>251708.44</v>
          </cell>
        </row>
        <row r="224">
          <cell r="A224">
            <v>213</v>
          </cell>
          <cell r="B224" t="str">
            <v>26/04  </v>
          </cell>
          <cell r="C224">
            <v>0</v>
          </cell>
          <cell r="D224">
            <v>0</v>
          </cell>
          <cell r="E224" t="str">
            <v>SISPAG FORNECEDORES</v>
          </cell>
          <cell r="F224">
            <v>-162852.15</v>
          </cell>
          <cell r="G224">
            <v>0</v>
          </cell>
        </row>
        <row r="225">
          <cell r="A225">
            <v>214</v>
          </cell>
          <cell r="B225" t="str">
            <v>26/04  </v>
          </cell>
          <cell r="C225">
            <v>0</v>
          </cell>
          <cell r="D225">
            <v>0</v>
          </cell>
          <cell r="E225" t="str">
            <v>SISPAG FORNECEDORES</v>
          </cell>
          <cell r="F225">
            <v>-2225.44</v>
          </cell>
          <cell r="G225">
            <v>0</v>
          </cell>
        </row>
        <row r="226">
          <cell r="A226">
            <v>215</v>
          </cell>
          <cell r="B226" t="str">
            <v>26/04  </v>
          </cell>
          <cell r="C226">
            <v>0</v>
          </cell>
          <cell r="D226">
            <v>0</v>
          </cell>
          <cell r="E226" t="str">
            <v>SISPAG FORNECEDORES TED</v>
          </cell>
          <cell r="F226">
            <v>-12000</v>
          </cell>
          <cell r="G226">
            <v>0</v>
          </cell>
        </row>
        <row r="227">
          <cell r="A227">
            <v>216</v>
          </cell>
          <cell r="B227" t="str">
            <v>26/04  </v>
          </cell>
          <cell r="C227" t="str">
            <v>D</v>
          </cell>
          <cell r="D227">
            <v>0</v>
          </cell>
          <cell r="E227" t="str">
            <v>SISPAG FORNECEDORES</v>
          </cell>
          <cell r="F227">
            <v>-136311.72</v>
          </cell>
          <cell r="G227">
            <v>0</v>
          </cell>
        </row>
        <row r="228">
          <cell r="A228">
            <v>217</v>
          </cell>
          <cell r="B228" t="str">
            <v>26/04  </v>
          </cell>
          <cell r="C228">
            <v>0</v>
          </cell>
          <cell r="D228">
            <v>0</v>
          </cell>
          <cell r="E228" t="str">
            <v>COLETA DIN</v>
          </cell>
          <cell r="F228">
            <v>26000</v>
          </cell>
          <cell r="G228">
            <v>0</v>
          </cell>
        </row>
        <row r="229">
          <cell r="A229">
            <v>218</v>
          </cell>
          <cell r="B229" t="str">
            <v>26/04  </v>
          </cell>
          <cell r="C229">
            <v>0</v>
          </cell>
          <cell r="D229">
            <v>0</v>
          </cell>
          <cell r="E229" t="str">
            <v>TRANSF 7649.14595-5</v>
          </cell>
          <cell r="F229">
            <v>2831.2</v>
          </cell>
          <cell r="G229">
            <v>0</v>
          </cell>
        </row>
        <row r="230">
          <cell r="A230">
            <v>219</v>
          </cell>
          <cell r="B230" t="str">
            <v>26/04  </v>
          </cell>
          <cell r="C230">
            <v>0</v>
          </cell>
          <cell r="D230">
            <v>0</v>
          </cell>
          <cell r="E230" t="str">
            <v>TRANSF 7649.14595-5</v>
          </cell>
          <cell r="F230">
            <v>640.92999999999995</v>
          </cell>
          <cell r="G230">
            <v>0</v>
          </cell>
        </row>
        <row r="231">
          <cell r="A231">
            <v>220</v>
          </cell>
          <cell r="B231" t="str">
            <v>26/04  </v>
          </cell>
          <cell r="C231">
            <v>0</v>
          </cell>
          <cell r="D231">
            <v>0</v>
          </cell>
          <cell r="E231" t="str">
            <v>TRANSF 7649.23054-2</v>
          </cell>
          <cell r="F231">
            <v>120458.62</v>
          </cell>
          <cell r="G231">
            <v>0</v>
          </cell>
        </row>
        <row r="232">
          <cell r="A232">
            <v>221</v>
          </cell>
          <cell r="B232" t="str">
            <v>26/04  </v>
          </cell>
          <cell r="C232">
            <v>0</v>
          </cell>
          <cell r="D232">
            <v>0</v>
          </cell>
          <cell r="E232" t="str">
            <v>TRANSF 7649.23054-2</v>
          </cell>
          <cell r="F232">
            <v>41976.36</v>
          </cell>
          <cell r="G232">
            <v>0</v>
          </cell>
        </row>
        <row r="233">
          <cell r="A233">
            <v>222</v>
          </cell>
          <cell r="B233" t="str">
            <v>26/04  </v>
          </cell>
          <cell r="C233">
            <v>0</v>
          </cell>
          <cell r="D233">
            <v>0</v>
          </cell>
          <cell r="E233" t="str">
            <v>MOV TIT COB DISP 26/04S</v>
          </cell>
          <cell r="F233">
            <v>247.61</v>
          </cell>
          <cell r="G233">
            <v>0</v>
          </cell>
        </row>
        <row r="234">
          <cell r="A234">
            <v>223</v>
          </cell>
          <cell r="B234" t="str">
            <v>26/04  </v>
          </cell>
          <cell r="C234">
            <v>0</v>
          </cell>
          <cell r="D234">
            <v>0</v>
          </cell>
          <cell r="E234" t="str">
            <v>REND PAGO APLIC AUT MAIS</v>
          </cell>
          <cell r="F234">
            <v>5.16</v>
          </cell>
          <cell r="G234">
            <v>0</v>
          </cell>
        </row>
        <row r="235">
          <cell r="A235">
            <v>224</v>
          </cell>
          <cell r="B235" t="str">
            <v>26/04  </v>
          </cell>
          <cell r="C235">
            <v>0</v>
          </cell>
          <cell r="D235">
            <v>0</v>
          </cell>
          <cell r="E235" t="str">
            <v>SDO CTA/APL AUTOMATICAS</v>
          </cell>
          <cell r="F235">
            <v>0</v>
          </cell>
          <cell r="G235">
            <v>130858.51</v>
          </cell>
        </row>
        <row r="236">
          <cell r="A236">
            <v>225</v>
          </cell>
          <cell r="B236" t="str">
            <v>27/04  </v>
          </cell>
          <cell r="C236">
            <v>0</v>
          </cell>
          <cell r="D236">
            <v>0</v>
          </cell>
          <cell r="E236" t="str">
            <v>SISPAG TRIBUTOS</v>
          </cell>
          <cell r="F236">
            <v>-586.66999999999996</v>
          </cell>
          <cell r="G236">
            <v>0</v>
          </cell>
        </row>
        <row r="237">
          <cell r="A237">
            <v>226</v>
          </cell>
          <cell r="B237" t="str">
            <v>27/04  </v>
          </cell>
          <cell r="C237">
            <v>0</v>
          </cell>
          <cell r="D237">
            <v>0</v>
          </cell>
          <cell r="E237" t="str">
            <v>SISPAG FORNECEDORES</v>
          </cell>
          <cell r="F237">
            <v>-719.93</v>
          </cell>
          <cell r="G237">
            <v>0</v>
          </cell>
        </row>
        <row r="238">
          <cell r="A238">
            <v>227</v>
          </cell>
          <cell r="B238" t="str">
            <v>27/04  </v>
          </cell>
          <cell r="C238">
            <v>0</v>
          </cell>
          <cell r="D238">
            <v>0</v>
          </cell>
          <cell r="E238" t="str">
            <v>SISPAG FORNECEDORES</v>
          </cell>
          <cell r="F238">
            <v>-39539.040000000001</v>
          </cell>
          <cell r="G238">
            <v>0</v>
          </cell>
        </row>
        <row r="239">
          <cell r="A239">
            <v>228</v>
          </cell>
          <cell r="B239" t="str">
            <v>27/04  </v>
          </cell>
          <cell r="C239">
            <v>0</v>
          </cell>
          <cell r="D239">
            <v>0</v>
          </cell>
          <cell r="E239" t="str">
            <v>SISPAG FORNECEDORES</v>
          </cell>
          <cell r="F239">
            <v>-10919.88</v>
          </cell>
          <cell r="G239">
            <v>0</v>
          </cell>
        </row>
        <row r="240">
          <cell r="A240">
            <v>229</v>
          </cell>
          <cell r="B240" t="str">
            <v>27/04  </v>
          </cell>
          <cell r="C240" t="str">
            <v>D</v>
          </cell>
          <cell r="D240">
            <v>0</v>
          </cell>
          <cell r="E240" t="str">
            <v>SISPAG FORNECEDORES</v>
          </cell>
          <cell r="F240">
            <v>-183</v>
          </cell>
          <cell r="G240">
            <v>0</v>
          </cell>
        </row>
        <row r="241">
          <cell r="A241">
            <v>230</v>
          </cell>
          <cell r="B241" t="str">
            <v>27/04  </v>
          </cell>
          <cell r="C241" t="str">
            <v>D</v>
          </cell>
          <cell r="D241">
            <v>0</v>
          </cell>
          <cell r="E241" t="str">
            <v>SISPAG FORNECEDORES</v>
          </cell>
          <cell r="F241">
            <v>-77983.78</v>
          </cell>
          <cell r="G241">
            <v>0</v>
          </cell>
        </row>
        <row r="242">
          <cell r="A242">
            <v>231</v>
          </cell>
          <cell r="B242" t="str">
            <v>27/04  </v>
          </cell>
          <cell r="C242">
            <v>0</v>
          </cell>
          <cell r="D242">
            <v>0</v>
          </cell>
          <cell r="E242" t="str">
            <v>COLETA DIN</v>
          </cell>
          <cell r="F242">
            <v>41000</v>
          </cell>
          <cell r="G242">
            <v>0</v>
          </cell>
        </row>
        <row r="243">
          <cell r="A243">
            <v>232</v>
          </cell>
          <cell r="B243" t="str">
            <v>27/04  </v>
          </cell>
          <cell r="C243">
            <v>0</v>
          </cell>
          <cell r="D243">
            <v>0</v>
          </cell>
          <cell r="E243" t="str">
            <v>TRANSF 7649.14595-5</v>
          </cell>
          <cell r="F243">
            <v>626.9</v>
          </cell>
          <cell r="G243">
            <v>0</v>
          </cell>
        </row>
        <row r="244">
          <cell r="A244">
            <v>233</v>
          </cell>
          <cell r="B244" t="str">
            <v>27/04  </v>
          </cell>
          <cell r="C244">
            <v>0</v>
          </cell>
          <cell r="D244">
            <v>0</v>
          </cell>
          <cell r="E244" t="str">
            <v>TRANSF 7649.14595-5</v>
          </cell>
          <cell r="F244">
            <v>1217.18</v>
          </cell>
          <cell r="G244">
            <v>0</v>
          </cell>
        </row>
        <row r="245">
          <cell r="A245">
            <v>234</v>
          </cell>
          <cell r="B245" t="str">
            <v>27/04  </v>
          </cell>
          <cell r="C245">
            <v>0</v>
          </cell>
          <cell r="D245">
            <v>0</v>
          </cell>
          <cell r="E245" t="str">
            <v>TRANSF 7649.23054-2</v>
          </cell>
          <cell r="F245">
            <v>57080.22</v>
          </cell>
          <cell r="G245">
            <v>0</v>
          </cell>
        </row>
        <row r="246">
          <cell r="A246">
            <v>235</v>
          </cell>
          <cell r="B246" t="str">
            <v>27/04  </v>
          </cell>
          <cell r="C246">
            <v>0</v>
          </cell>
          <cell r="D246">
            <v>0</v>
          </cell>
          <cell r="E246" t="str">
            <v>TRANSF 7649.23054-2</v>
          </cell>
          <cell r="F246">
            <v>60294.79</v>
          </cell>
          <cell r="G246">
            <v>0</v>
          </cell>
        </row>
        <row r="247">
          <cell r="A247">
            <v>236</v>
          </cell>
          <cell r="B247" t="str">
            <v>27/04  </v>
          </cell>
          <cell r="C247">
            <v>0</v>
          </cell>
          <cell r="D247">
            <v>0</v>
          </cell>
          <cell r="E247" t="str">
            <v>MOV TIT COB DISP 27/04S</v>
          </cell>
          <cell r="F247">
            <v>684.92</v>
          </cell>
          <cell r="G247">
            <v>0</v>
          </cell>
        </row>
        <row r="248">
          <cell r="A248">
            <v>237</v>
          </cell>
          <cell r="B248" t="str">
            <v>27/04  </v>
          </cell>
          <cell r="C248" t="str">
            <v>C</v>
          </cell>
          <cell r="D248">
            <v>0</v>
          </cell>
          <cell r="E248" t="str">
            <v>MOV TIT COBRANCA 27/04S</v>
          </cell>
          <cell r="F248">
            <v>265.39999999999998</v>
          </cell>
          <cell r="G248">
            <v>0</v>
          </cell>
        </row>
        <row r="249">
          <cell r="A249">
            <v>238</v>
          </cell>
          <cell r="B249" t="str">
            <v>27/04  </v>
          </cell>
          <cell r="C249">
            <v>0</v>
          </cell>
          <cell r="D249">
            <v>0</v>
          </cell>
          <cell r="E249" t="str">
            <v>SDO CTA/APL AUTOMATICAS</v>
          </cell>
          <cell r="F249">
            <v>0</v>
          </cell>
          <cell r="G249">
            <v>162095.62</v>
          </cell>
        </row>
        <row r="250">
          <cell r="A250">
            <v>239</v>
          </cell>
          <cell r="B250" t="str">
            <v>27/04  </v>
          </cell>
          <cell r="C250">
            <v>0</v>
          </cell>
          <cell r="D250">
            <v>0</v>
          </cell>
          <cell r="E250" t="str">
            <v>(-) SALDO A LIBERAR</v>
          </cell>
          <cell r="F250">
            <v>0</v>
          </cell>
          <cell r="G250">
            <v>265.39999999999998</v>
          </cell>
        </row>
        <row r="251">
          <cell r="A251">
            <v>240</v>
          </cell>
          <cell r="B251" t="str">
            <v>27/04  </v>
          </cell>
          <cell r="C251">
            <v>0</v>
          </cell>
          <cell r="D251">
            <v>0</v>
          </cell>
          <cell r="E251" t="str">
            <v>SALDO FINAL DISPONIVEL</v>
          </cell>
          <cell r="F251">
            <v>0</v>
          </cell>
          <cell r="G251">
            <v>161830.22</v>
          </cell>
        </row>
        <row r="252">
          <cell r="A252">
            <v>241</v>
          </cell>
          <cell r="B252" t="str">
            <v>28/04  </v>
          </cell>
          <cell r="C252">
            <v>0</v>
          </cell>
          <cell r="D252">
            <v>0</v>
          </cell>
          <cell r="E252" t="str">
            <v>SISPAG FORNECEDORES</v>
          </cell>
          <cell r="F252">
            <v>-605</v>
          </cell>
          <cell r="G252">
            <v>0</v>
          </cell>
        </row>
        <row r="253">
          <cell r="A253">
            <v>242</v>
          </cell>
          <cell r="B253" t="str">
            <v>28/04  </v>
          </cell>
          <cell r="C253">
            <v>0</v>
          </cell>
          <cell r="D253">
            <v>0</v>
          </cell>
          <cell r="E253" t="str">
            <v>COLETA DIN</v>
          </cell>
          <cell r="F253">
            <v>17000</v>
          </cell>
          <cell r="G253">
            <v>0</v>
          </cell>
        </row>
        <row r="254">
          <cell r="A254">
            <v>243</v>
          </cell>
          <cell r="B254" t="str">
            <v>28/04  </v>
          </cell>
          <cell r="C254">
            <v>0</v>
          </cell>
          <cell r="D254">
            <v>0</v>
          </cell>
          <cell r="E254" t="str">
            <v>TRANSF 7649.14595-5</v>
          </cell>
          <cell r="F254">
            <v>1768.28</v>
          </cell>
          <cell r="G254">
            <v>0</v>
          </cell>
        </row>
        <row r="255">
          <cell r="A255">
            <v>244</v>
          </cell>
          <cell r="B255" t="str">
            <v>28/04  </v>
          </cell>
          <cell r="C255">
            <v>0</v>
          </cell>
          <cell r="D255">
            <v>0</v>
          </cell>
          <cell r="E255" t="str">
            <v>TRANSF 7649.14595-5</v>
          </cell>
          <cell r="F255">
            <v>737.54</v>
          </cell>
          <cell r="G255">
            <v>0</v>
          </cell>
        </row>
        <row r="256">
          <cell r="A256">
            <v>245</v>
          </cell>
          <cell r="B256" t="str">
            <v>28/04  </v>
          </cell>
          <cell r="C256">
            <v>0</v>
          </cell>
          <cell r="D256">
            <v>0</v>
          </cell>
          <cell r="E256" t="str">
            <v>TRANSF 7649.23054-2</v>
          </cell>
          <cell r="F256">
            <v>89731.95</v>
          </cell>
          <cell r="G256">
            <v>0</v>
          </cell>
        </row>
        <row r="257">
          <cell r="A257">
            <v>246</v>
          </cell>
          <cell r="B257" t="str">
            <v>28/04  </v>
          </cell>
          <cell r="C257">
            <v>0</v>
          </cell>
          <cell r="D257">
            <v>0</v>
          </cell>
          <cell r="E257" t="str">
            <v>TRANSF 7649.23054-2</v>
          </cell>
          <cell r="F257">
            <v>52499.59</v>
          </cell>
          <cell r="G257">
            <v>0</v>
          </cell>
        </row>
        <row r="258">
          <cell r="A258">
            <v>247</v>
          </cell>
          <cell r="B258" t="str">
            <v>28/04  </v>
          </cell>
          <cell r="C258">
            <v>0</v>
          </cell>
          <cell r="D258">
            <v>0</v>
          </cell>
          <cell r="E258" t="str">
            <v>SDO CTA/APL AUTOMATICAS</v>
          </cell>
          <cell r="F258">
            <v>0</v>
          </cell>
          <cell r="G258">
            <v>323227.98</v>
          </cell>
        </row>
        <row r="259">
          <cell r="A259">
            <v>248</v>
          </cell>
          <cell r="B259" t="str">
            <v>29/04  </v>
          </cell>
          <cell r="C259">
            <v>0</v>
          </cell>
          <cell r="D259">
            <v>0</v>
          </cell>
          <cell r="E259" t="str">
            <v>SISPAG TRIBUTOS</v>
          </cell>
          <cell r="F259">
            <v>-4262.8599999999997</v>
          </cell>
          <cell r="G259">
            <v>0</v>
          </cell>
        </row>
        <row r="260">
          <cell r="A260">
            <v>249</v>
          </cell>
          <cell r="B260" t="str">
            <v>29/04  </v>
          </cell>
          <cell r="C260">
            <v>0</v>
          </cell>
          <cell r="D260">
            <v>0</v>
          </cell>
          <cell r="E260" t="str">
            <v>SISPAG TRIBUTOS</v>
          </cell>
          <cell r="F260">
            <v>-4839.18</v>
          </cell>
          <cell r="G260">
            <v>0</v>
          </cell>
        </row>
        <row r="261">
          <cell r="A261">
            <v>250</v>
          </cell>
          <cell r="B261" t="str">
            <v>29/04  </v>
          </cell>
          <cell r="C261">
            <v>0</v>
          </cell>
          <cell r="D261">
            <v>0</v>
          </cell>
          <cell r="E261" t="str">
            <v>SISPAG TRIBUTOS</v>
          </cell>
          <cell r="F261">
            <v>-227015.28</v>
          </cell>
          <cell r="G261">
            <v>0</v>
          </cell>
        </row>
        <row r="262">
          <cell r="A262">
            <v>251</v>
          </cell>
          <cell r="B262" t="str">
            <v>29/04  </v>
          </cell>
          <cell r="C262">
            <v>0</v>
          </cell>
          <cell r="D262">
            <v>0</v>
          </cell>
          <cell r="E262" t="str">
            <v>SISPAG FORNECEDORES</v>
          </cell>
          <cell r="F262">
            <v>-132717.91</v>
          </cell>
          <cell r="G262">
            <v>0</v>
          </cell>
        </row>
        <row r="263">
          <cell r="A263">
            <v>252</v>
          </cell>
          <cell r="B263" t="str">
            <v>29/04  </v>
          </cell>
          <cell r="C263">
            <v>0</v>
          </cell>
          <cell r="D263">
            <v>0</v>
          </cell>
          <cell r="E263" t="str">
            <v>SISPAG FORNECEDORES</v>
          </cell>
          <cell r="F263">
            <v>-75057</v>
          </cell>
          <cell r="G263">
            <v>0</v>
          </cell>
        </row>
        <row r="264">
          <cell r="A264">
            <v>253</v>
          </cell>
          <cell r="B264" t="str">
            <v>29/04  </v>
          </cell>
          <cell r="C264">
            <v>0</v>
          </cell>
          <cell r="D264">
            <v>0</v>
          </cell>
          <cell r="E264" t="str">
            <v>SISPAG FORNECEDORES TED</v>
          </cell>
          <cell r="F264">
            <v>-30000</v>
          </cell>
          <cell r="G264">
            <v>0</v>
          </cell>
        </row>
        <row r="265">
          <cell r="A265">
            <v>254</v>
          </cell>
          <cell r="B265" t="str">
            <v>29/04  </v>
          </cell>
          <cell r="C265" t="str">
            <v>D</v>
          </cell>
          <cell r="D265">
            <v>0</v>
          </cell>
          <cell r="E265" t="str">
            <v>SISPAG FORNECEDORES</v>
          </cell>
          <cell r="F265">
            <v>-121448.9</v>
          </cell>
          <cell r="G265">
            <v>0</v>
          </cell>
        </row>
        <row r="266">
          <cell r="A266">
            <v>255</v>
          </cell>
          <cell r="B266" t="str">
            <v>29/04  </v>
          </cell>
          <cell r="C266">
            <v>0</v>
          </cell>
          <cell r="D266">
            <v>0</v>
          </cell>
          <cell r="E266" t="str">
            <v>TEC DEPOSITO DINHEIRO</v>
          </cell>
          <cell r="F266">
            <v>7000</v>
          </cell>
          <cell r="G266">
            <v>0</v>
          </cell>
        </row>
        <row r="267">
          <cell r="A267">
            <v>256</v>
          </cell>
          <cell r="B267" t="str">
            <v>29/04  </v>
          </cell>
          <cell r="C267">
            <v>0</v>
          </cell>
          <cell r="D267">
            <v>0</v>
          </cell>
          <cell r="E267" t="str">
            <v>COLETA DIN</v>
          </cell>
          <cell r="F267">
            <v>101000</v>
          </cell>
          <cell r="G267">
            <v>0</v>
          </cell>
        </row>
        <row r="268">
          <cell r="A268">
            <v>257</v>
          </cell>
          <cell r="B268" t="str">
            <v>29/04  </v>
          </cell>
          <cell r="C268">
            <v>0</v>
          </cell>
          <cell r="D268">
            <v>0</v>
          </cell>
          <cell r="E268" t="str">
            <v>TED 237.3367CENT COM UTI</v>
          </cell>
          <cell r="F268">
            <v>50000</v>
          </cell>
          <cell r="G268">
            <v>0</v>
          </cell>
        </row>
        <row r="269">
          <cell r="A269">
            <v>258</v>
          </cell>
          <cell r="B269" t="str">
            <v>29/04  </v>
          </cell>
          <cell r="C269">
            <v>0</v>
          </cell>
          <cell r="D269">
            <v>0</v>
          </cell>
          <cell r="E269" t="str">
            <v>TRANSF 7649.14595-5</v>
          </cell>
          <cell r="F269">
            <v>1358.07</v>
          </cell>
          <cell r="G269">
            <v>0</v>
          </cell>
        </row>
        <row r="270">
          <cell r="A270">
            <v>259</v>
          </cell>
          <cell r="B270" t="str">
            <v>29/04  </v>
          </cell>
          <cell r="C270">
            <v>0</v>
          </cell>
          <cell r="D270">
            <v>0</v>
          </cell>
          <cell r="E270" t="str">
            <v>TRANSF 7649.14595-5</v>
          </cell>
          <cell r="F270">
            <v>1260.26</v>
          </cell>
          <cell r="G270">
            <v>0</v>
          </cell>
        </row>
        <row r="271">
          <cell r="A271">
            <v>260</v>
          </cell>
          <cell r="B271" t="str">
            <v>29/04  </v>
          </cell>
          <cell r="C271">
            <v>0</v>
          </cell>
          <cell r="D271">
            <v>0</v>
          </cell>
          <cell r="E271" t="str">
            <v>TRANSF 7649.23054-2</v>
          </cell>
          <cell r="F271">
            <v>81023.77</v>
          </cell>
          <cell r="G271">
            <v>0</v>
          </cell>
        </row>
        <row r="272">
          <cell r="A272">
            <v>261</v>
          </cell>
          <cell r="B272" t="str">
            <v>29/04  </v>
          </cell>
          <cell r="C272">
            <v>0</v>
          </cell>
          <cell r="D272">
            <v>0</v>
          </cell>
          <cell r="E272" t="str">
            <v>TRANSF 7649.23054-2</v>
          </cell>
          <cell r="F272">
            <v>63631.99</v>
          </cell>
          <cell r="G272">
            <v>0</v>
          </cell>
        </row>
        <row r="273">
          <cell r="A273">
            <v>262</v>
          </cell>
          <cell r="B273" t="str">
            <v>29/04  </v>
          </cell>
          <cell r="C273">
            <v>0</v>
          </cell>
          <cell r="D273">
            <v>0</v>
          </cell>
          <cell r="E273" t="str">
            <v>REND PAGO APLIC AUT MAIS</v>
          </cell>
          <cell r="F273">
            <v>3.25</v>
          </cell>
          <cell r="G273">
            <v>0</v>
          </cell>
        </row>
        <row r="274">
          <cell r="A274">
            <v>263</v>
          </cell>
          <cell r="B274" t="str">
            <v>29/04  </v>
          </cell>
          <cell r="C274">
            <v>0</v>
          </cell>
          <cell r="D274">
            <v>0</v>
          </cell>
          <cell r="E274" t="str">
            <v>SDO CTA/APL AUTOMATICAS</v>
          </cell>
          <cell r="F274">
            <v>0</v>
          </cell>
          <cell r="G274">
            <v>33164.19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R640"/>
  <sheetViews>
    <sheetView showGridLines="0" tabSelected="1" zoomScale="80" zoomScaleNormal="80" workbookViewId="0">
      <pane xSplit="1" ySplit="5" topLeftCell="B6" activePane="bottomRight" state="frozen"/>
      <selection activeCell="F408" sqref="F408"/>
      <selection pane="topRight" activeCell="F408" sqref="F408"/>
      <selection pane="bottomLeft" activeCell="F408" sqref="F408"/>
      <selection pane="bottomRight" activeCell="B6" sqref="B6"/>
    </sheetView>
  </sheetViews>
  <sheetFormatPr defaultRowHeight="14.25" x14ac:dyDescent="0.2"/>
  <cols>
    <col min="1" max="1" width="13.7109375" style="17" bestFit="1" customWidth="1"/>
    <col min="2" max="2" width="27" style="17" bestFit="1" customWidth="1"/>
    <col min="3" max="3" width="17.140625" style="1" customWidth="1"/>
    <col min="4" max="4" width="22.42578125" style="1" customWidth="1"/>
    <col min="5" max="5" width="12.42578125" style="1" bestFit="1" customWidth="1"/>
    <col min="6" max="6" width="17.7109375" style="18" customWidth="1"/>
    <col min="7" max="7" width="15.5703125" style="8" bestFit="1" customWidth="1"/>
    <col min="8" max="8" width="20" style="19" bestFit="1" customWidth="1"/>
    <col min="9" max="9" width="15.7109375" style="1" bestFit="1" customWidth="1"/>
    <col min="10" max="10" width="33.5703125" style="17" bestFit="1" customWidth="1"/>
    <col min="11" max="11" width="18.42578125" style="1" customWidth="1"/>
    <col min="12" max="12" width="27" style="17" bestFit="1" customWidth="1"/>
    <col min="13" max="13" width="44.85546875" style="17" bestFit="1" customWidth="1"/>
    <col min="14" max="14" width="45.5703125" style="1" bestFit="1" customWidth="1"/>
    <col min="15" max="15" width="65" style="1" bestFit="1" customWidth="1"/>
    <col min="16" max="16" width="16.5703125" style="1" bestFit="1" customWidth="1"/>
    <col min="17" max="17" width="13" style="1" bestFit="1" customWidth="1"/>
    <col min="18" max="16384" width="9.140625" style="1"/>
  </cols>
  <sheetData>
    <row r="1" spans="1:17" x14ac:dyDescent="0.2">
      <c r="A1" s="1"/>
      <c r="B1" s="50" t="s">
        <v>1904</v>
      </c>
      <c r="C1" s="58" t="str">
        <f>TEXT(B3,"000")&amp;"_LANCS_"&amp;TEXT(D3,"mmaaaa")&amp;"_BANCO_"&amp;F3</f>
        <v>000_LANCS_011900_BANCO_</v>
      </c>
      <c r="D1" s="58"/>
      <c r="E1" s="24" t="s">
        <v>44</v>
      </c>
      <c r="F1" s="25"/>
      <c r="G1" s="25"/>
      <c r="H1" s="23">
        <f>SUM(G3,SUMIFS(F6:F2003,B6:$B$2003,"&gt;="&amp;F1,B6:$B$2003,"&lt;="&amp;G1))</f>
        <v>0</v>
      </c>
      <c r="J1" s="15" t="s">
        <v>1773</v>
      </c>
      <c r="K1" s="51" t="s">
        <v>1907</v>
      </c>
      <c r="L1" s="51" t="str">
        <f>"I:\999 - IMPORTA\"&amp;B3&amp;"\"</f>
        <v>I:\999 - IMPORTA\\</v>
      </c>
      <c r="M1" s="1"/>
    </row>
    <row r="2" spans="1:17" x14ac:dyDescent="0.2">
      <c r="A2" s="1"/>
      <c r="B2" s="49" t="s">
        <v>16</v>
      </c>
      <c r="C2" s="2"/>
      <c r="D2" s="2"/>
      <c r="E2" s="2"/>
      <c r="F2" s="14" t="s">
        <v>8</v>
      </c>
      <c r="G2" s="14" t="s">
        <v>14</v>
      </c>
      <c r="H2" s="22" t="s">
        <v>43</v>
      </c>
      <c r="J2" s="15" t="s">
        <v>10</v>
      </c>
      <c r="K2" s="52" t="s">
        <v>1908</v>
      </c>
      <c r="L2" s="1"/>
      <c r="M2" s="1"/>
    </row>
    <row r="3" spans="1:17" x14ac:dyDescent="0.2">
      <c r="A3" s="1"/>
      <c r="B3" s="53"/>
      <c r="C3" s="48" t="s">
        <v>1905</v>
      </c>
      <c r="D3" s="54"/>
      <c r="E3" s="5" t="str">
        <f>TEXT(MONTH(D3),"00")</f>
        <v>01</v>
      </c>
      <c r="F3" s="55"/>
      <c r="G3" s="16"/>
      <c r="H3" s="16">
        <f>SUM(G3,F6:F1048576)</f>
        <v>0</v>
      </c>
      <c r="J3" s="1"/>
      <c r="L3" s="1"/>
      <c r="M3" s="1"/>
    </row>
    <row r="4" spans="1:17" x14ac:dyDescent="0.2">
      <c r="A4" s="3"/>
      <c r="B4" s="3">
        <v>17</v>
      </c>
      <c r="C4" s="3"/>
      <c r="D4" s="3">
        <v>2</v>
      </c>
      <c r="E4" s="3">
        <v>3</v>
      </c>
      <c r="F4" s="4">
        <v>13</v>
      </c>
      <c r="G4" s="4"/>
      <c r="H4" s="4"/>
      <c r="I4" s="3">
        <v>4</v>
      </c>
      <c r="J4" s="3">
        <v>9</v>
      </c>
      <c r="K4" s="3"/>
      <c r="L4" s="3"/>
      <c r="M4" s="3">
        <v>8</v>
      </c>
    </row>
    <row r="5" spans="1:17" s="27" customFormat="1" ht="39" customHeight="1" x14ac:dyDescent="0.25">
      <c r="A5" s="26" t="s">
        <v>1778</v>
      </c>
      <c r="B5" s="26" t="s">
        <v>1774</v>
      </c>
      <c r="C5" s="26" t="s">
        <v>1775</v>
      </c>
      <c r="D5" s="6" t="s">
        <v>0</v>
      </c>
      <c r="E5" s="6" t="s">
        <v>1</v>
      </c>
      <c r="F5" s="7" t="s">
        <v>2</v>
      </c>
      <c r="G5" s="7" t="s">
        <v>13</v>
      </c>
      <c r="H5" s="7" t="s">
        <v>1777</v>
      </c>
      <c r="I5" s="7" t="s">
        <v>9</v>
      </c>
      <c r="J5" s="6" t="s">
        <v>7</v>
      </c>
      <c r="K5" s="6" t="s">
        <v>5</v>
      </c>
      <c r="L5" s="6" t="s">
        <v>15</v>
      </c>
      <c r="M5" s="6" t="s">
        <v>3</v>
      </c>
      <c r="N5" s="6" t="s">
        <v>4</v>
      </c>
      <c r="O5" s="6" t="s">
        <v>1776</v>
      </c>
      <c r="P5" s="26" t="s">
        <v>1902</v>
      </c>
      <c r="Q5" s="26" t="s">
        <v>1903</v>
      </c>
    </row>
    <row r="6" spans="1:17" s="36" customFormat="1" x14ac:dyDescent="0.2">
      <c r="A6" s="28">
        <v>1</v>
      </c>
      <c r="B6" s="29"/>
      <c r="C6" s="30" t="str">
        <f t="shared" ref="C6:C68" si="0">IF(B6="","",TEXT(DAY(B6),"00")&amp;"/"&amp;TEXT(MONTH(B6),"00"))</f>
        <v/>
      </c>
      <c r="D6" s="31"/>
      <c r="E6" s="31"/>
      <c r="F6" s="32"/>
      <c r="G6" s="33" t="str">
        <f>IF(F6&lt;&gt;"",G3+F6,"")</f>
        <v/>
      </c>
      <c r="H6" s="32" t="str">
        <f>IF(F6&lt;&gt;"",ABS(F6),"")</f>
        <v/>
      </c>
      <c r="I6" s="44"/>
      <c r="J6" s="31" t="str">
        <f t="shared" ref="J6:J70" si="1">IF(F6=0,"",IF(F6&lt;0,"PAGAMENTO","RECEBIMENTO"))</f>
        <v/>
      </c>
      <c r="K6" s="34"/>
      <c r="L6" s="35"/>
      <c r="M6" s="34"/>
      <c r="N6" s="34"/>
      <c r="O6" s="2" t="str">
        <f>CONCATENATE(K6," ",N6)</f>
        <v xml:space="preserve"> </v>
      </c>
      <c r="P6" s="45"/>
    </row>
    <row r="7" spans="1:17" s="36" customFormat="1" x14ac:dyDescent="0.2">
      <c r="A7" s="28">
        <v>1</v>
      </c>
      <c r="B7" s="29"/>
      <c r="C7" s="30" t="str">
        <f t="shared" si="0"/>
        <v/>
      </c>
      <c r="D7" s="31"/>
      <c r="E7" s="31"/>
      <c r="F7" s="32"/>
      <c r="G7" s="33" t="str">
        <f t="shared" ref="G7:G70" si="2">IF(F7&lt;&gt;"",F7+G6,"")</f>
        <v/>
      </c>
      <c r="H7" s="32" t="str">
        <f t="shared" ref="H7:H70" si="3">IF(F7&lt;&gt;"",ABS(F7),"")</f>
        <v/>
      </c>
      <c r="I7" s="44"/>
      <c r="J7" s="31" t="str">
        <f t="shared" si="1"/>
        <v/>
      </c>
      <c r="K7" s="34"/>
      <c r="L7" s="35"/>
      <c r="M7" s="37"/>
      <c r="N7" s="37"/>
      <c r="O7" s="2" t="str">
        <f t="shared" ref="O7:O70" si="4">CONCATENATE(K7," ",N7)</f>
        <v xml:space="preserve"> </v>
      </c>
      <c r="P7" s="45"/>
    </row>
    <row r="8" spans="1:17" s="36" customFormat="1" x14ac:dyDescent="0.2">
      <c r="A8" s="28">
        <v>1</v>
      </c>
      <c r="B8" s="29"/>
      <c r="C8" s="30" t="str">
        <f t="shared" si="0"/>
        <v/>
      </c>
      <c r="D8" s="31"/>
      <c r="E8" s="31"/>
      <c r="F8" s="32"/>
      <c r="G8" s="33" t="str">
        <f t="shared" si="2"/>
        <v/>
      </c>
      <c r="H8" s="32" t="str">
        <f t="shared" si="3"/>
        <v/>
      </c>
      <c r="I8" s="44"/>
      <c r="J8" s="31" t="str">
        <f t="shared" si="1"/>
        <v/>
      </c>
      <c r="K8" s="34"/>
      <c r="L8" s="35"/>
      <c r="M8" s="34"/>
      <c r="N8" s="34"/>
      <c r="O8" s="2" t="str">
        <f t="shared" si="4"/>
        <v xml:space="preserve"> </v>
      </c>
      <c r="P8" s="45"/>
    </row>
    <row r="9" spans="1:17" s="36" customFormat="1" x14ac:dyDescent="0.2">
      <c r="A9" s="28">
        <v>1</v>
      </c>
      <c r="B9" s="29"/>
      <c r="C9" s="30" t="str">
        <f t="shared" si="0"/>
        <v/>
      </c>
      <c r="D9" s="31"/>
      <c r="E9" s="31"/>
      <c r="F9" s="32"/>
      <c r="G9" s="33" t="str">
        <f t="shared" si="2"/>
        <v/>
      </c>
      <c r="H9" s="32" t="str">
        <f t="shared" si="3"/>
        <v/>
      </c>
      <c r="I9" s="44"/>
      <c r="J9" s="31" t="str">
        <f t="shared" si="1"/>
        <v/>
      </c>
      <c r="K9" s="34"/>
      <c r="L9" s="35"/>
      <c r="M9" s="34"/>
      <c r="N9" s="34"/>
      <c r="O9" s="2" t="str">
        <f t="shared" si="4"/>
        <v xml:space="preserve"> </v>
      </c>
      <c r="P9" s="45"/>
    </row>
    <row r="10" spans="1:17" s="36" customFormat="1" x14ac:dyDescent="0.2">
      <c r="A10" s="28">
        <v>1</v>
      </c>
      <c r="B10" s="29"/>
      <c r="C10" s="30" t="str">
        <f t="shared" si="0"/>
        <v/>
      </c>
      <c r="D10" s="31"/>
      <c r="E10" s="31"/>
      <c r="F10" s="32"/>
      <c r="G10" s="33" t="str">
        <f t="shared" si="2"/>
        <v/>
      </c>
      <c r="H10" s="32" t="str">
        <f t="shared" si="3"/>
        <v/>
      </c>
      <c r="I10" s="44"/>
      <c r="J10" s="31" t="str">
        <f t="shared" si="1"/>
        <v/>
      </c>
      <c r="K10" s="34"/>
      <c r="L10" s="35"/>
      <c r="M10" s="34"/>
      <c r="N10" s="34"/>
      <c r="O10" s="2" t="str">
        <f t="shared" si="4"/>
        <v xml:space="preserve"> </v>
      </c>
      <c r="P10" s="45"/>
    </row>
    <row r="11" spans="1:17" s="36" customFormat="1" x14ac:dyDescent="0.2">
      <c r="A11" s="28">
        <v>1</v>
      </c>
      <c r="B11" s="29"/>
      <c r="C11" s="30" t="str">
        <f t="shared" si="0"/>
        <v/>
      </c>
      <c r="D11" s="31"/>
      <c r="E11" s="31"/>
      <c r="F11" s="32"/>
      <c r="G11" s="33" t="str">
        <f t="shared" si="2"/>
        <v/>
      </c>
      <c r="H11" s="32" t="str">
        <f t="shared" si="3"/>
        <v/>
      </c>
      <c r="I11" s="44"/>
      <c r="J11" s="31" t="str">
        <f t="shared" si="1"/>
        <v/>
      </c>
      <c r="K11" s="34"/>
      <c r="L11" s="35"/>
      <c r="M11" s="34"/>
      <c r="N11" s="34"/>
      <c r="O11" s="2" t="str">
        <f t="shared" si="4"/>
        <v xml:space="preserve"> </v>
      </c>
      <c r="P11" s="45"/>
    </row>
    <row r="12" spans="1:17" s="36" customFormat="1" x14ac:dyDescent="0.2">
      <c r="A12" s="28">
        <v>1</v>
      </c>
      <c r="B12" s="29"/>
      <c r="C12" s="30" t="str">
        <f t="shared" si="0"/>
        <v/>
      </c>
      <c r="D12" s="31"/>
      <c r="E12" s="31"/>
      <c r="F12" s="32"/>
      <c r="G12" s="33" t="str">
        <f t="shared" si="2"/>
        <v/>
      </c>
      <c r="H12" s="32" t="str">
        <f t="shared" si="3"/>
        <v/>
      </c>
      <c r="I12" s="44"/>
      <c r="J12" s="31" t="str">
        <f t="shared" si="1"/>
        <v/>
      </c>
      <c r="K12" s="34"/>
      <c r="L12" s="35"/>
      <c r="M12" s="34"/>
      <c r="N12" s="34"/>
      <c r="O12" s="2" t="str">
        <f t="shared" si="4"/>
        <v xml:space="preserve"> </v>
      </c>
      <c r="P12" s="45"/>
    </row>
    <row r="13" spans="1:17" s="36" customFormat="1" x14ac:dyDescent="0.2">
      <c r="A13" s="28">
        <v>1</v>
      </c>
      <c r="B13" s="29"/>
      <c r="C13" s="30" t="str">
        <f t="shared" si="0"/>
        <v/>
      </c>
      <c r="D13" s="31"/>
      <c r="E13" s="31"/>
      <c r="F13" s="32"/>
      <c r="G13" s="33" t="str">
        <f t="shared" si="2"/>
        <v/>
      </c>
      <c r="H13" s="32" t="str">
        <f t="shared" si="3"/>
        <v/>
      </c>
      <c r="I13" s="44"/>
      <c r="J13" s="31" t="str">
        <f t="shared" si="1"/>
        <v/>
      </c>
      <c r="K13" s="34"/>
      <c r="L13" s="35"/>
      <c r="M13" s="34"/>
      <c r="N13" s="34"/>
      <c r="O13" s="2" t="str">
        <f t="shared" si="4"/>
        <v xml:space="preserve"> </v>
      </c>
      <c r="P13" s="45"/>
    </row>
    <row r="14" spans="1:17" s="36" customFormat="1" x14ac:dyDescent="0.2">
      <c r="A14" s="28">
        <v>1</v>
      </c>
      <c r="B14" s="29"/>
      <c r="C14" s="30" t="str">
        <f t="shared" si="0"/>
        <v/>
      </c>
      <c r="D14" s="31"/>
      <c r="E14" s="31"/>
      <c r="F14" s="32"/>
      <c r="G14" s="33" t="str">
        <f t="shared" si="2"/>
        <v/>
      </c>
      <c r="H14" s="32" t="str">
        <f t="shared" si="3"/>
        <v/>
      </c>
      <c r="I14" s="44"/>
      <c r="J14" s="31" t="str">
        <f t="shared" si="1"/>
        <v/>
      </c>
      <c r="K14" s="34"/>
      <c r="L14" s="35"/>
      <c r="M14" s="34"/>
      <c r="N14" s="34"/>
      <c r="O14" s="2" t="str">
        <f t="shared" si="4"/>
        <v xml:space="preserve"> </v>
      </c>
      <c r="P14" s="45"/>
    </row>
    <row r="15" spans="1:17" s="36" customFormat="1" x14ac:dyDescent="0.2">
      <c r="A15" s="28">
        <v>1</v>
      </c>
      <c r="B15" s="29"/>
      <c r="C15" s="30" t="str">
        <f t="shared" si="0"/>
        <v/>
      </c>
      <c r="D15" s="31"/>
      <c r="E15" s="31"/>
      <c r="F15" s="33"/>
      <c r="G15" s="33" t="str">
        <f t="shared" si="2"/>
        <v/>
      </c>
      <c r="H15" s="32" t="str">
        <f t="shared" si="3"/>
        <v/>
      </c>
      <c r="I15" s="44"/>
      <c r="J15" s="31" t="str">
        <f t="shared" si="1"/>
        <v/>
      </c>
      <c r="K15" s="34"/>
      <c r="L15" s="35"/>
      <c r="M15" s="34"/>
      <c r="N15" s="34"/>
      <c r="O15" s="2" t="str">
        <f t="shared" si="4"/>
        <v xml:space="preserve"> </v>
      </c>
      <c r="P15" s="45"/>
    </row>
    <row r="16" spans="1:17" s="36" customFormat="1" x14ac:dyDescent="0.2">
      <c r="A16" s="28">
        <v>1</v>
      </c>
      <c r="B16" s="29"/>
      <c r="C16" s="30" t="str">
        <f t="shared" si="0"/>
        <v/>
      </c>
      <c r="D16" s="31"/>
      <c r="E16" s="31"/>
      <c r="F16" s="32"/>
      <c r="G16" s="33" t="str">
        <f t="shared" si="2"/>
        <v/>
      </c>
      <c r="H16" s="32" t="str">
        <f t="shared" si="3"/>
        <v/>
      </c>
      <c r="I16" s="44"/>
      <c r="J16" s="31" t="str">
        <f t="shared" si="1"/>
        <v/>
      </c>
      <c r="K16" s="34"/>
      <c r="L16" s="35"/>
      <c r="M16" s="34"/>
      <c r="N16" s="34"/>
      <c r="O16" s="2" t="str">
        <f t="shared" si="4"/>
        <v xml:space="preserve"> </v>
      </c>
      <c r="P16" s="45"/>
    </row>
    <row r="17" spans="1:16" s="36" customFormat="1" x14ac:dyDescent="0.2">
      <c r="A17" s="28">
        <v>1</v>
      </c>
      <c r="B17" s="29"/>
      <c r="C17" s="30" t="str">
        <f t="shared" si="0"/>
        <v/>
      </c>
      <c r="D17" s="31"/>
      <c r="E17" s="31"/>
      <c r="F17" s="33"/>
      <c r="G17" s="33" t="str">
        <f t="shared" si="2"/>
        <v/>
      </c>
      <c r="H17" s="32" t="str">
        <f t="shared" si="3"/>
        <v/>
      </c>
      <c r="I17" s="44"/>
      <c r="J17" s="31" t="str">
        <f t="shared" si="1"/>
        <v/>
      </c>
      <c r="K17" s="34"/>
      <c r="L17" s="35"/>
      <c r="M17" s="37"/>
      <c r="N17" s="37"/>
      <c r="O17" s="2" t="str">
        <f t="shared" si="4"/>
        <v xml:space="preserve"> </v>
      </c>
      <c r="P17" s="45"/>
    </row>
    <row r="18" spans="1:16" s="36" customFormat="1" x14ac:dyDescent="0.2">
      <c r="A18" s="28">
        <v>1</v>
      </c>
      <c r="B18" s="29"/>
      <c r="C18" s="30" t="str">
        <f t="shared" si="0"/>
        <v/>
      </c>
      <c r="D18" s="31"/>
      <c r="E18" s="31"/>
      <c r="F18" s="32"/>
      <c r="G18" s="33" t="str">
        <f t="shared" si="2"/>
        <v/>
      </c>
      <c r="H18" s="32" t="str">
        <f t="shared" si="3"/>
        <v/>
      </c>
      <c r="I18" s="44"/>
      <c r="J18" s="31" t="str">
        <f t="shared" si="1"/>
        <v/>
      </c>
      <c r="K18" s="34"/>
      <c r="L18" s="35"/>
      <c r="M18" s="34"/>
      <c r="N18" s="34"/>
      <c r="O18" s="2" t="str">
        <f t="shared" si="4"/>
        <v xml:space="preserve"> </v>
      </c>
      <c r="P18" s="45"/>
    </row>
    <row r="19" spans="1:16" s="36" customFormat="1" x14ac:dyDescent="0.2">
      <c r="A19" s="28">
        <v>1</v>
      </c>
      <c r="B19" s="29"/>
      <c r="C19" s="30" t="str">
        <f t="shared" si="0"/>
        <v/>
      </c>
      <c r="D19" s="31"/>
      <c r="E19" s="31"/>
      <c r="F19" s="32"/>
      <c r="G19" s="33" t="str">
        <f t="shared" si="2"/>
        <v/>
      </c>
      <c r="H19" s="32" t="str">
        <f t="shared" si="3"/>
        <v/>
      </c>
      <c r="I19" s="44"/>
      <c r="J19" s="31" t="str">
        <f t="shared" si="1"/>
        <v/>
      </c>
      <c r="K19" s="34"/>
      <c r="L19" s="35"/>
      <c r="M19" s="34"/>
      <c r="N19" s="34"/>
      <c r="O19" s="2" t="str">
        <f t="shared" si="4"/>
        <v xml:space="preserve"> </v>
      </c>
      <c r="P19" s="45"/>
    </row>
    <row r="20" spans="1:16" s="36" customFormat="1" x14ac:dyDescent="0.2">
      <c r="A20" s="28">
        <v>1</v>
      </c>
      <c r="B20" s="29"/>
      <c r="C20" s="30" t="str">
        <f t="shared" si="0"/>
        <v/>
      </c>
      <c r="D20" s="31"/>
      <c r="E20" s="31"/>
      <c r="F20" s="32"/>
      <c r="G20" s="33" t="str">
        <f t="shared" si="2"/>
        <v/>
      </c>
      <c r="H20" s="32" t="str">
        <f t="shared" si="3"/>
        <v/>
      </c>
      <c r="I20" s="44"/>
      <c r="J20" s="31" t="str">
        <f t="shared" si="1"/>
        <v/>
      </c>
      <c r="K20" s="34"/>
      <c r="L20" s="35"/>
      <c r="M20" s="37"/>
      <c r="N20" s="37"/>
      <c r="O20" s="2" t="str">
        <f t="shared" si="4"/>
        <v xml:space="preserve"> </v>
      </c>
      <c r="P20" s="45"/>
    </row>
    <row r="21" spans="1:16" s="36" customFormat="1" x14ac:dyDescent="0.2">
      <c r="A21" s="28">
        <v>1</v>
      </c>
      <c r="B21" s="29"/>
      <c r="C21" s="30" t="str">
        <f t="shared" si="0"/>
        <v/>
      </c>
      <c r="D21" s="31"/>
      <c r="E21" s="31"/>
      <c r="F21" s="32"/>
      <c r="G21" s="33" t="str">
        <f t="shared" si="2"/>
        <v/>
      </c>
      <c r="H21" s="32" t="str">
        <f t="shared" si="3"/>
        <v/>
      </c>
      <c r="I21" s="44"/>
      <c r="J21" s="31" t="str">
        <f t="shared" si="1"/>
        <v/>
      </c>
      <c r="K21" s="34"/>
      <c r="L21" s="35"/>
      <c r="M21" s="34"/>
      <c r="N21" s="34"/>
      <c r="O21" s="2" t="str">
        <f t="shared" si="4"/>
        <v xml:space="preserve"> </v>
      </c>
      <c r="P21" s="45"/>
    </row>
    <row r="22" spans="1:16" s="36" customFormat="1" x14ac:dyDescent="0.2">
      <c r="A22" s="28">
        <v>1</v>
      </c>
      <c r="B22" s="29"/>
      <c r="C22" s="30" t="str">
        <f t="shared" si="0"/>
        <v/>
      </c>
      <c r="D22" s="31"/>
      <c r="E22" s="31"/>
      <c r="F22" s="32"/>
      <c r="G22" s="33" t="str">
        <f t="shared" si="2"/>
        <v/>
      </c>
      <c r="H22" s="32" t="str">
        <f t="shared" si="3"/>
        <v/>
      </c>
      <c r="I22" s="44"/>
      <c r="J22" s="31" t="str">
        <f t="shared" si="1"/>
        <v/>
      </c>
      <c r="K22" s="34"/>
      <c r="L22" s="35"/>
      <c r="M22" s="34"/>
      <c r="N22" s="34"/>
      <c r="O22" s="2" t="str">
        <f t="shared" si="4"/>
        <v xml:space="preserve"> </v>
      </c>
      <c r="P22" s="45"/>
    </row>
    <row r="23" spans="1:16" s="36" customFormat="1" x14ac:dyDescent="0.2">
      <c r="A23" s="28">
        <v>1</v>
      </c>
      <c r="B23" s="29"/>
      <c r="C23" s="30" t="str">
        <f t="shared" si="0"/>
        <v/>
      </c>
      <c r="D23" s="31"/>
      <c r="E23" s="31"/>
      <c r="F23" s="32"/>
      <c r="G23" s="33" t="str">
        <f t="shared" si="2"/>
        <v/>
      </c>
      <c r="H23" s="32" t="str">
        <f t="shared" si="3"/>
        <v/>
      </c>
      <c r="I23" s="44"/>
      <c r="J23" s="31" t="str">
        <f t="shared" si="1"/>
        <v/>
      </c>
      <c r="K23" s="34"/>
      <c r="L23" s="35"/>
      <c r="M23" s="34"/>
      <c r="N23" s="34"/>
      <c r="O23" s="2" t="str">
        <f t="shared" si="4"/>
        <v xml:space="preserve"> </v>
      </c>
      <c r="P23" s="45"/>
    </row>
    <row r="24" spans="1:16" s="36" customFormat="1" x14ac:dyDescent="0.2">
      <c r="A24" s="28">
        <v>1</v>
      </c>
      <c r="B24" s="29"/>
      <c r="C24" s="30" t="str">
        <f t="shared" si="0"/>
        <v/>
      </c>
      <c r="D24" s="31"/>
      <c r="E24" s="31"/>
      <c r="F24" s="33"/>
      <c r="G24" s="33" t="str">
        <f t="shared" si="2"/>
        <v/>
      </c>
      <c r="H24" s="32" t="str">
        <f t="shared" si="3"/>
        <v/>
      </c>
      <c r="I24" s="44"/>
      <c r="J24" s="31" t="str">
        <f t="shared" si="1"/>
        <v/>
      </c>
      <c r="K24" s="34"/>
      <c r="L24" s="35"/>
      <c r="M24" s="34"/>
      <c r="N24" s="34"/>
      <c r="O24" s="2" t="str">
        <f t="shared" si="4"/>
        <v xml:space="preserve"> </v>
      </c>
      <c r="P24" s="45"/>
    </row>
    <row r="25" spans="1:16" s="36" customFormat="1" x14ac:dyDescent="0.2">
      <c r="A25" s="28">
        <v>1</v>
      </c>
      <c r="B25" s="29"/>
      <c r="C25" s="30" t="str">
        <f t="shared" si="0"/>
        <v/>
      </c>
      <c r="D25" s="31"/>
      <c r="E25" s="31"/>
      <c r="F25" s="32"/>
      <c r="G25" s="33" t="str">
        <f t="shared" si="2"/>
        <v/>
      </c>
      <c r="H25" s="32" t="str">
        <f t="shared" si="3"/>
        <v/>
      </c>
      <c r="I25" s="44"/>
      <c r="J25" s="31" t="str">
        <f t="shared" si="1"/>
        <v/>
      </c>
      <c r="K25" s="34"/>
      <c r="L25" s="35"/>
      <c r="M25" s="34"/>
      <c r="N25" s="34"/>
      <c r="O25" s="2" t="str">
        <f t="shared" si="4"/>
        <v xml:space="preserve"> </v>
      </c>
      <c r="P25" s="45"/>
    </row>
    <row r="26" spans="1:16" s="36" customFormat="1" x14ac:dyDescent="0.2">
      <c r="A26" s="28">
        <v>1</v>
      </c>
      <c r="B26" s="29"/>
      <c r="C26" s="30" t="str">
        <f t="shared" si="0"/>
        <v/>
      </c>
      <c r="D26" s="31"/>
      <c r="E26" s="31"/>
      <c r="F26" s="32"/>
      <c r="G26" s="33" t="str">
        <f t="shared" si="2"/>
        <v/>
      </c>
      <c r="H26" s="32" t="str">
        <f t="shared" si="3"/>
        <v/>
      </c>
      <c r="I26" s="44"/>
      <c r="J26" s="31" t="str">
        <f t="shared" si="1"/>
        <v/>
      </c>
      <c r="K26" s="34"/>
      <c r="L26" s="35"/>
      <c r="M26" s="37"/>
      <c r="N26" s="37"/>
      <c r="O26" s="2" t="str">
        <f t="shared" si="4"/>
        <v xml:space="preserve"> </v>
      </c>
      <c r="P26" s="45"/>
    </row>
    <row r="27" spans="1:16" s="36" customFormat="1" x14ac:dyDescent="0.2">
      <c r="A27" s="28">
        <v>1</v>
      </c>
      <c r="B27" s="29"/>
      <c r="C27" s="30" t="str">
        <f t="shared" si="0"/>
        <v/>
      </c>
      <c r="D27" s="31"/>
      <c r="E27" s="31"/>
      <c r="F27" s="32"/>
      <c r="G27" s="33" t="str">
        <f t="shared" si="2"/>
        <v/>
      </c>
      <c r="H27" s="32" t="str">
        <f t="shared" si="3"/>
        <v/>
      </c>
      <c r="I27" s="44"/>
      <c r="J27" s="31" t="str">
        <f t="shared" si="1"/>
        <v/>
      </c>
      <c r="K27" s="34"/>
      <c r="L27" s="35"/>
      <c r="M27" s="34"/>
      <c r="N27" s="34"/>
      <c r="O27" s="2" t="str">
        <f t="shared" si="4"/>
        <v xml:space="preserve"> </v>
      </c>
      <c r="P27" s="45"/>
    </row>
    <row r="28" spans="1:16" s="36" customFormat="1" x14ac:dyDescent="0.2">
      <c r="A28" s="28">
        <v>1</v>
      </c>
      <c r="B28" s="29"/>
      <c r="C28" s="30" t="str">
        <f t="shared" si="0"/>
        <v/>
      </c>
      <c r="D28" s="31"/>
      <c r="E28" s="31"/>
      <c r="F28" s="33"/>
      <c r="G28" s="33" t="str">
        <f t="shared" si="2"/>
        <v/>
      </c>
      <c r="H28" s="32" t="str">
        <f t="shared" si="3"/>
        <v/>
      </c>
      <c r="I28" s="44"/>
      <c r="J28" s="31" t="str">
        <f t="shared" si="1"/>
        <v/>
      </c>
      <c r="K28" s="34"/>
      <c r="L28" s="35"/>
      <c r="M28" s="34"/>
      <c r="N28" s="34"/>
      <c r="O28" s="2" t="str">
        <f t="shared" si="4"/>
        <v xml:space="preserve"> </v>
      </c>
      <c r="P28" s="45"/>
    </row>
    <row r="29" spans="1:16" s="36" customFormat="1" x14ac:dyDescent="0.2">
      <c r="A29" s="28">
        <v>1</v>
      </c>
      <c r="B29" s="29"/>
      <c r="C29" s="30" t="str">
        <f t="shared" si="0"/>
        <v/>
      </c>
      <c r="D29" s="31"/>
      <c r="E29" s="31"/>
      <c r="F29" s="32"/>
      <c r="G29" s="33" t="str">
        <f t="shared" si="2"/>
        <v/>
      </c>
      <c r="H29" s="32" t="str">
        <f t="shared" si="3"/>
        <v/>
      </c>
      <c r="I29" s="44"/>
      <c r="J29" s="31" t="str">
        <f t="shared" si="1"/>
        <v/>
      </c>
      <c r="K29" s="34"/>
      <c r="L29" s="35"/>
      <c r="M29" s="34"/>
      <c r="N29" s="34"/>
      <c r="O29" s="2" t="str">
        <f t="shared" si="4"/>
        <v xml:space="preserve"> </v>
      </c>
      <c r="P29" s="45"/>
    </row>
    <row r="30" spans="1:16" s="36" customFormat="1" x14ac:dyDescent="0.2">
      <c r="A30" s="28">
        <v>1</v>
      </c>
      <c r="B30" s="29"/>
      <c r="C30" s="30" t="str">
        <f t="shared" si="0"/>
        <v/>
      </c>
      <c r="D30" s="31"/>
      <c r="E30" s="31"/>
      <c r="F30" s="32"/>
      <c r="G30" s="33" t="str">
        <f t="shared" si="2"/>
        <v/>
      </c>
      <c r="H30" s="32" t="str">
        <f t="shared" si="3"/>
        <v/>
      </c>
      <c r="I30" s="44"/>
      <c r="J30" s="31" t="str">
        <f t="shared" si="1"/>
        <v/>
      </c>
      <c r="K30" s="34"/>
      <c r="L30" s="35"/>
      <c r="M30" s="34"/>
      <c r="N30" s="34"/>
      <c r="O30" s="2" t="str">
        <f t="shared" si="4"/>
        <v xml:space="preserve"> </v>
      </c>
      <c r="P30" s="45"/>
    </row>
    <row r="31" spans="1:16" s="36" customFormat="1" x14ac:dyDescent="0.2">
      <c r="A31" s="28">
        <v>1</v>
      </c>
      <c r="B31" s="29"/>
      <c r="C31" s="30" t="str">
        <f t="shared" si="0"/>
        <v/>
      </c>
      <c r="D31" s="31"/>
      <c r="E31" s="31"/>
      <c r="F31" s="32"/>
      <c r="G31" s="33" t="str">
        <f t="shared" si="2"/>
        <v/>
      </c>
      <c r="H31" s="32" t="str">
        <f t="shared" si="3"/>
        <v/>
      </c>
      <c r="I31" s="44"/>
      <c r="J31" s="31" t="str">
        <f t="shared" si="1"/>
        <v/>
      </c>
      <c r="K31" s="34"/>
      <c r="L31" s="35"/>
      <c r="M31" s="34"/>
      <c r="N31" s="34"/>
      <c r="O31" s="2" t="str">
        <f t="shared" si="4"/>
        <v xml:space="preserve"> </v>
      </c>
      <c r="P31" s="45"/>
    </row>
    <row r="32" spans="1:16" s="36" customFormat="1" x14ac:dyDescent="0.2">
      <c r="A32" s="28">
        <v>1</v>
      </c>
      <c r="B32" s="29"/>
      <c r="C32" s="30" t="str">
        <f t="shared" si="0"/>
        <v/>
      </c>
      <c r="D32" s="31"/>
      <c r="E32" s="31"/>
      <c r="F32" s="32"/>
      <c r="G32" s="33" t="str">
        <f t="shared" si="2"/>
        <v/>
      </c>
      <c r="H32" s="32" t="str">
        <f t="shared" si="3"/>
        <v/>
      </c>
      <c r="I32" s="44"/>
      <c r="J32" s="31" t="str">
        <f t="shared" si="1"/>
        <v/>
      </c>
      <c r="K32" s="34"/>
      <c r="L32" s="35"/>
      <c r="M32" s="34"/>
      <c r="N32" s="34"/>
      <c r="O32" s="2" t="str">
        <f t="shared" si="4"/>
        <v xml:space="preserve"> </v>
      </c>
      <c r="P32" s="45"/>
    </row>
    <row r="33" spans="1:16" s="36" customFormat="1" x14ac:dyDescent="0.2">
      <c r="A33" s="28">
        <v>1</v>
      </c>
      <c r="B33" s="29"/>
      <c r="C33" s="30" t="str">
        <f t="shared" si="0"/>
        <v/>
      </c>
      <c r="D33" s="31"/>
      <c r="E33" s="31"/>
      <c r="F33" s="32"/>
      <c r="G33" s="33" t="str">
        <f t="shared" si="2"/>
        <v/>
      </c>
      <c r="H33" s="32" t="str">
        <f t="shared" si="3"/>
        <v/>
      </c>
      <c r="I33" s="44"/>
      <c r="J33" s="31" t="str">
        <f t="shared" si="1"/>
        <v/>
      </c>
      <c r="K33" s="34"/>
      <c r="L33" s="35"/>
      <c r="M33" s="34"/>
      <c r="N33" s="34"/>
      <c r="O33" s="2" t="str">
        <f t="shared" si="4"/>
        <v xml:space="preserve"> </v>
      </c>
      <c r="P33" s="45"/>
    </row>
    <row r="34" spans="1:16" s="36" customFormat="1" x14ac:dyDescent="0.2">
      <c r="A34" s="28">
        <v>1</v>
      </c>
      <c r="B34" s="29"/>
      <c r="C34" s="30" t="str">
        <f t="shared" si="0"/>
        <v/>
      </c>
      <c r="D34" s="31"/>
      <c r="E34" s="31"/>
      <c r="F34" s="32"/>
      <c r="G34" s="33" t="str">
        <f t="shared" si="2"/>
        <v/>
      </c>
      <c r="H34" s="32" t="str">
        <f t="shared" si="3"/>
        <v/>
      </c>
      <c r="I34" s="44"/>
      <c r="J34" s="31" t="str">
        <f t="shared" si="1"/>
        <v/>
      </c>
      <c r="K34" s="34"/>
      <c r="L34" s="35"/>
      <c r="M34" s="34"/>
      <c r="N34" s="34"/>
      <c r="O34" s="2" t="str">
        <f t="shared" si="4"/>
        <v xml:space="preserve"> </v>
      </c>
      <c r="P34" s="45"/>
    </row>
    <row r="35" spans="1:16" s="36" customFormat="1" x14ac:dyDescent="0.2">
      <c r="A35" s="28">
        <v>1</v>
      </c>
      <c r="B35" s="29"/>
      <c r="C35" s="30" t="str">
        <f t="shared" si="0"/>
        <v/>
      </c>
      <c r="D35" s="31"/>
      <c r="E35" s="31"/>
      <c r="F35" s="32"/>
      <c r="G35" s="33" t="str">
        <f t="shared" si="2"/>
        <v/>
      </c>
      <c r="H35" s="32" t="str">
        <f t="shared" si="3"/>
        <v/>
      </c>
      <c r="I35" s="44"/>
      <c r="J35" s="31" t="str">
        <f t="shared" si="1"/>
        <v/>
      </c>
      <c r="K35" s="34"/>
      <c r="L35" s="35"/>
      <c r="M35" s="34"/>
      <c r="N35" s="34"/>
      <c r="O35" s="2" t="str">
        <f t="shared" si="4"/>
        <v xml:space="preserve"> </v>
      </c>
      <c r="P35" s="45"/>
    </row>
    <row r="36" spans="1:16" s="36" customFormat="1" x14ac:dyDescent="0.2">
      <c r="A36" s="28">
        <v>1</v>
      </c>
      <c r="B36" s="29"/>
      <c r="C36" s="30" t="str">
        <f t="shared" si="0"/>
        <v/>
      </c>
      <c r="D36" s="31"/>
      <c r="E36" s="31"/>
      <c r="F36" s="32"/>
      <c r="G36" s="33" t="str">
        <f t="shared" si="2"/>
        <v/>
      </c>
      <c r="H36" s="32" t="str">
        <f t="shared" si="3"/>
        <v/>
      </c>
      <c r="I36" s="44"/>
      <c r="J36" s="31" t="str">
        <f t="shared" si="1"/>
        <v/>
      </c>
      <c r="K36" s="34"/>
      <c r="L36" s="35"/>
      <c r="M36" s="34"/>
      <c r="N36" s="34"/>
      <c r="O36" s="2" t="str">
        <f t="shared" si="4"/>
        <v xml:space="preserve"> </v>
      </c>
      <c r="P36" s="45"/>
    </row>
    <row r="37" spans="1:16" s="36" customFormat="1" x14ac:dyDescent="0.2">
      <c r="A37" s="28">
        <v>1</v>
      </c>
      <c r="B37" s="29"/>
      <c r="C37" s="30" t="str">
        <f t="shared" si="0"/>
        <v/>
      </c>
      <c r="D37" s="31"/>
      <c r="E37" s="31"/>
      <c r="F37" s="32"/>
      <c r="G37" s="33" t="str">
        <f t="shared" si="2"/>
        <v/>
      </c>
      <c r="H37" s="32" t="str">
        <f t="shared" si="3"/>
        <v/>
      </c>
      <c r="I37" s="44"/>
      <c r="J37" s="31" t="str">
        <f t="shared" si="1"/>
        <v/>
      </c>
      <c r="K37" s="34"/>
      <c r="L37" s="35"/>
      <c r="M37" s="34"/>
      <c r="N37" s="34"/>
      <c r="O37" s="2" t="str">
        <f t="shared" si="4"/>
        <v xml:space="preserve"> </v>
      </c>
      <c r="P37" s="45"/>
    </row>
    <row r="38" spans="1:16" s="36" customFormat="1" x14ac:dyDescent="0.2">
      <c r="A38" s="28">
        <v>1</v>
      </c>
      <c r="B38" s="29"/>
      <c r="C38" s="30" t="str">
        <f t="shared" si="0"/>
        <v/>
      </c>
      <c r="D38" s="31"/>
      <c r="E38" s="31"/>
      <c r="F38" s="32"/>
      <c r="G38" s="33" t="str">
        <f t="shared" si="2"/>
        <v/>
      </c>
      <c r="H38" s="32" t="str">
        <f t="shared" si="3"/>
        <v/>
      </c>
      <c r="I38" s="44"/>
      <c r="J38" s="31" t="str">
        <f t="shared" si="1"/>
        <v/>
      </c>
      <c r="K38" s="34"/>
      <c r="L38" s="35"/>
      <c r="M38" s="34"/>
      <c r="N38" s="34"/>
      <c r="O38" s="2" t="str">
        <f t="shared" si="4"/>
        <v xml:space="preserve"> </v>
      </c>
      <c r="P38" s="45"/>
    </row>
    <row r="39" spans="1:16" s="36" customFormat="1" x14ac:dyDescent="0.2">
      <c r="A39" s="28">
        <v>1</v>
      </c>
      <c r="B39" s="29"/>
      <c r="C39" s="30" t="str">
        <f t="shared" si="0"/>
        <v/>
      </c>
      <c r="D39" s="31"/>
      <c r="E39" s="31"/>
      <c r="F39" s="32"/>
      <c r="G39" s="33" t="str">
        <f t="shared" si="2"/>
        <v/>
      </c>
      <c r="H39" s="32" t="str">
        <f t="shared" si="3"/>
        <v/>
      </c>
      <c r="I39" s="44"/>
      <c r="J39" s="31" t="str">
        <f t="shared" si="1"/>
        <v/>
      </c>
      <c r="K39" s="34"/>
      <c r="L39" s="35"/>
      <c r="M39" s="34"/>
      <c r="N39" s="34"/>
      <c r="O39" s="2" t="str">
        <f t="shared" si="4"/>
        <v xml:space="preserve"> </v>
      </c>
      <c r="P39" s="45"/>
    </row>
    <row r="40" spans="1:16" s="36" customFormat="1" x14ac:dyDescent="0.2">
      <c r="A40" s="28">
        <v>1</v>
      </c>
      <c r="B40" s="29"/>
      <c r="C40" s="30" t="str">
        <f t="shared" si="0"/>
        <v/>
      </c>
      <c r="D40" s="31"/>
      <c r="E40" s="31"/>
      <c r="F40" s="32"/>
      <c r="G40" s="33" t="str">
        <f t="shared" si="2"/>
        <v/>
      </c>
      <c r="H40" s="32" t="str">
        <f t="shared" si="3"/>
        <v/>
      </c>
      <c r="I40" s="44"/>
      <c r="J40" s="31" t="str">
        <f t="shared" si="1"/>
        <v/>
      </c>
      <c r="K40" s="34"/>
      <c r="L40" s="35"/>
      <c r="M40" s="34"/>
      <c r="N40" s="34"/>
      <c r="O40" s="2" t="str">
        <f t="shared" si="4"/>
        <v xml:space="preserve"> </v>
      </c>
      <c r="P40" s="45"/>
    </row>
    <row r="41" spans="1:16" s="36" customFormat="1" x14ac:dyDescent="0.2">
      <c r="A41" s="28">
        <v>1</v>
      </c>
      <c r="B41" s="29"/>
      <c r="C41" s="30" t="str">
        <f t="shared" si="0"/>
        <v/>
      </c>
      <c r="D41" s="31"/>
      <c r="E41" s="31"/>
      <c r="F41" s="32"/>
      <c r="G41" s="33" t="str">
        <f t="shared" si="2"/>
        <v/>
      </c>
      <c r="H41" s="32" t="str">
        <f t="shared" si="3"/>
        <v/>
      </c>
      <c r="I41" s="44"/>
      <c r="J41" s="31" t="str">
        <f t="shared" si="1"/>
        <v/>
      </c>
      <c r="K41" s="34"/>
      <c r="L41" s="35"/>
      <c r="M41" s="34"/>
      <c r="N41" s="34"/>
      <c r="O41" s="2" t="str">
        <f t="shared" si="4"/>
        <v xml:space="preserve"> </v>
      </c>
      <c r="P41" s="45"/>
    </row>
    <row r="42" spans="1:16" s="36" customFormat="1" x14ac:dyDescent="0.2">
      <c r="A42" s="28">
        <v>1</v>
      </c>
      <c r="B42" s="29"/>
      <c r="C42" s="30" t="str">
        <f t="shared" si="0"/>
        <v/>
      </c>
      <c r="D42" s="31"/>
      <c r="E42" s="31"/>
      <c r="F42" s="32"/>
      <c r="G42" s="33" t="str">
        <f t="shared" si="2"/>
        <v/>
      </c>
      <c r="H42" s="32" t="str">
        <f t="shared" si="3"/>
        <v/>
      </c>
      <c r="I42" s="44"/>
      <c r="J42" s="31" t="str">
        <f t="shared" si="1"/>
        <v/>
      </c>
      <c r="K42" s="34"/>
      <c r="L42" s="35"/>
      <c r="M42" s="34"/>
      <c r="N42" s="34"/>
      <c r="O42" s="2" t="str">
        <f t="shared" si="4"/>
        <v xml:space="preserve"> </v>
      </c>
      <c r="P42" s="45"/>
    </row>
    <row r="43" spans="1:16" s="36" customFormat="1" x14ac:dyDescent="0.2">
      <c r="A43" s="28">
        <v>1</v>
      </c>
      <c r="B43" s="29"/>
      <c r="C43" s="30" t="str">
        <f t="shared" si="0"/>
        <v/>
      </c>
      <c r="D43" s="31"/>
      <c r="E43" s="31"/>
      <c r="F43" s="32"/>
      <c r="G43" s="33" t="str">
        <f t="shared" si="2"/>
        <v/>
      </c>
      <c r="H43" s="32" t="str">
        <f t="shared" si="3"/>
        <v/>
      </c>
      <c r="I43" s="44"/>
      <c r="J43" s="31" t="str">
        <f t="shared" si="1"/>
        <v/>
      </c>
      <c r="K43" s="34"/>
      <c r="L43" s="35"/>
      <c r="M43" s="34"/>
      <c r="N43" s="34"/>
      <c r="O43" s="2" t="str">
        <f t="shared" si="4"/>
        <v xml:space="preserve"> </v>
      </c>
      <c r="P43" s="45"/>
    </row>
    <row r="44" spans="1:16" s="36" customFormat="1" x14ac:dyDescent="0.2">
      <c r="A44" s="28">
        <v>1</v>
      </c>
      <c r="B44" s="29"/>
      <c r="C44" s="30" t="str">
        <f t="shared" si="0"/>
        <v/>
      </c>
      <c r="D44" s="31"/>
      <c r="E44" s="31"/>
      <c r="F44" s="32"/>
      <c r="G44" s="33" t="str">
        <f t="shared" si="2"/>
        <v/>
      </c>
      <c r="H44" s="32" t="str">
        <f t="shared" si="3"/>
        <v/>
      </c>
      <c r="I44" s="44"/>
      <c r="J44" s="31" t="str">
        <f t="shared" si="1"/>
        <v/>
      </c>
      <c r="K44" s="34"/>
      <c r="L44" s="35"/>
      <c r="M44" s="34"/>
      <c r="N44" s="34"/>
      <c r="O44" s="2" t="str">
        <f t="shared" si="4"/>
        <v xml:space="preserve"> </v>
      </c>
      <c r="P44" s="45"/>
    </row>
    <row r="45" spans="1:16" s="36" customFormat="1" x14ac:dyDescent="0.2">
      <c r="A45" s="28">
        <v>1</v>
      </c>
      <c r="B45" s="29"/>
      <c r="C45" s="30" t="str">
        <f t="shared" si="0"/>
        <v/>
      </c>
      <c r="D45" s="31"/>
      <c r="E45" s="31"/>
      <c r="F45" s="32"/>
      <c r="G45" s="33" t="str">
        <f t="shared" si="2"/>
        <v/>
      </c>
      <c r="H45" s="32" t="str">
        <f t="shared" si="3"/>
        <v/>
      </c>
      <c r="I45" s="44"/>
      <c r="J45" s="31" t="str">
        <f t="shared" si="1"/>
        <v/>
      </c>
      <c r="K45" s="34"/>
      <c r="L45" s="35"/>
      <c r="M45" s="34"/>
      <c r="N45" s="34"/>
      <c r="O45" s="2" t="str">
        <f t="shared" si="4"/>
        <v xml:space="preserve"> </v>
      </c>
      <c r="P45" s="45"/>
    </row>
    <row r="46" spans="1:16" s="36" customFormat="1" x14ac:dyDescent="0.2">
      <c r="A46" s="28">
        <v>1</v>
      </c>
      <c r="B46" s="29"/>
      <c r="C46" s="30" t="str">
        <f t="shared" si="0"/>
        <v/>
      </c>
      <c r="D46" s="31"/>
      <c r="E46" s="31"/>
      <c r="F46" s="32"/>
      <c r="G46" s="33" t="str">
        <f t="shared" si="2"/>
        <v/>
      </c>
      <c r="H46" s="32" t="str">
        <f t="shared" si="3"/>
        <v/>
      </c>
      <c r="I46" s="44"/>
      <c r="J46" s="31" t="str">
        <f t="shared" si="1"/>
        <v/>
      </c>
      <c r="K46" s="34"/>
      <c r="L46" s="35"/>
      <c r="M46" s="34"/>
      <c r="N46" s="34"/>
      <c r="O46" s="2" t="str">
        <f t="shared" si="4"/>
        <v xml:space="preserve"> </v>
      </c>
      <c r="P46" s="45"/>
    </row>
    <row r="47" spans="1:16" s="36" customFormat="1" x14ac:dyDescent="0.2">
      <c r="A47" s="28">
        <v>1</v>
      </c>
      <c r="B47" s="29"/>
      <c r="C47" s="30" t="str">
        <f t="shared" si="0"/>
        <v/>
      </c>
      <c r="D47" s="31"/>
      <c r="E47" s="31"/>
      <c r="F47" s="32"/>
      <c r="G47" s="33" t="str">
        <f t="shared" si="2"/>
        <v/>
      </c>
      <c r="H47" s="32" t="str">
        <f t="shared" si="3"/>
        <v/>
      </c>
      <c r="I47" s="44"/>
      <c r="J47" s="31" t="str">
        <f t="shared" si="1"/>
        <v/>
      </c>
      <c r="K47" s="34"/>
      <c r="L47" s="35"/>
      <c r="M47" s="34"/>
      <c r="N47" s="34"/>
      <c r="O47" s="2" t="str">
        <f t="shared" si="4"/>
        <v xml:space="preserve"> </v>
      </c>
      <c r="P47" s="45"/>
    </row>
    <row r="48" spans="1:16" s="36" customFormat="1" x14ac:dyDescent="0.2">
      <c r="A48" s="28">
        <v>1</v>
      </c>
      <c r="B48" s="29"/>
      <c r="C48" s="30" t="str">
        <f t="shared" si="0"/>
        <v/>
      </c>
      <c r="D48" s="31"/>
      <c r="E48" s="31"/>
      <c r="F48" s="32"/>
      <c r="G48" s="33" t="str">
        <f t="shared" si="2"/>
        <v/>
      </c>
      <c r="H48" s="32" t="str">
        <f t="shared" si="3"/>
        <v/>
      </c>
      <c r="I48" s="44"/>
      <c r="J48" s="31" t="str">
        <f t="shared" si="1"/>
        <v/>
      </c>
      <c r="K48" s="34"/>
      <c r="L48" s="35"/>
      <c r="M48" s="34"/>
      <c r="N48" s="34"/>
      <c r="O48" s="2" t="str">
        <f t="shared" si="4"/>
        <v xml:space="preserve"> </v>
      </c>
      <c r="P48" s="45"/>
    </row>
    <row r="49" spans="1:16" s="36" customFormat="1" x14ac:dyDescent="0.2">
      <c r="A49" s="28">
        <v>1</v>
      </c>
      <c r="B49" s="29"/>
      <c r="C49" s="30" t="str">
        <f t="shared" si="0"/>
        <v/>
      </c>
      <c r="D49" s="31"/>
      <c r="E49" s="31"/>
      <c r="F49" s="32"/>
      <c r="G49" s="33" t="str">
        <f t="shared" si="2"/>
        <v/>
      </c>
      <c r="H49" s="32" t="str">
        <f t="shared" si="3"/>
        <v/>
      </c>
      <c r="I49" s="44"/>
      <c r="J49" s="31" t="str">
        <f t="shared" si="1"/>
        <v/>
      </c>
      <c r="K49" s="34"/>
      <c r="L49" s="35"/>
      <c r="M49" s="34"/>
      <c r="N49" s="34"/>
      <c r="O49" s="2" t="str">
        <f t="shared" si="4"/>
        <v xml:space="preserve"> </v>
      </c>
      <c r="P49" s="45"/>
    </row>
    <row r="50" spans="1:16" s="36" customFormat="1" x14ac:dyDescent="0.2">
      <c r="A50" s="28">
        <v>1</v>
      </c>
      <c r="B50" s="29"/>
      <c r="C50" s="30" t="str">
        <f t="shared" si="0"/>
        <v/>
      </c>
      <c r="D50" s="31"/>
      <c r="E50" s="31"/>
      <c r="F50" s="32"/>
      <c r="G50" s="33" t="str">
        <f t="shared" si="2"/>
        <v/>
      </c>
      <c r="H50" s="32" t="str">
        <f t="shared" si="3"/>
        <v/>
      </c>
      <c r="I50" s="44"/>
      <c r="J50" s="31" t="str">
        <f t="shared" si="1"/>
        <v/>
      </c>
      <c r="K50" s="34"/>
      <c r="L50" s="35"/>
      <c r="M50" s="34"/>
      <c r="N50" s="34"/>
      <c r="O50" s="2" t="str">
        <f t="shared" si="4"/>
        <v xml:space="preserve"> </v>
      </c>
      <c r="P50" s="45"/>
    </row>
    <row r="51" spans="1:16" s="36" customFormat="1" x14ac:dyDescent="0.2">
      <c r="A51" s="28">
        <v>1</v>
      </c>
      <c r="B51" s="29"/>
      <c r="C51" s="30" t="str">
        <f t="shared" si="0"/>
        <v/>
      </c>
      <c r="D51" s="31"/>
      <c r="E51" s="31"/>
      <c r="F51" s="32"/>
      <c r="G51" s="33" t="str">
        <f t="shared" si="2"/>
        <v/>
      </c>
      <c r="H51" s="32" t="str">
        <f t="shared" si="3"/>
        <v/>
      </c>
      <c r="I51" s="44"/>
      <c r="J51" s="31" t="str">
        <f t="shared" si="1"/>
        <v/>
      </c>
      <c r="K51" s="34"/>
      <c r="L51" s="35"/>
      <c r="M51" s="34"/>
      <c r="N51" s="34"/>
      <c r="O51" s="2" t="str">
        <f t="shared" si="4"/>
        <v xml:space="preserve"> </v>
      </c>
      <c r="P51" s="45"/>
    </row>
    <row r="52" spans="1:16" s="36" customFormat="1" x14ac:dyDescent="0.2">
      <c r="A52" s="28">
        <v>1</v>
      </c>
      <c r="B52" s="29"/>
      <c r="C52" s="30" t="str">
        <f t="shared" si="0"/>
        <v/>
      </c>
      <c r="D52" s="31"/>
      <c r="E52" s="31"/>
      <c r="F52" s="32"/>
      <c r="G52" s="33" t="str">
        <f t="shared" si="2"/>
        <v/>
      </c>
      <c r="H52" s="32" t="str">
        <f t="shared" si="3"/>
        <v/>
      </c>
      <c r="I52" s="44"/>
      <c r="J52" s="31" t="str">
        <f t="shared" si="1"/>
        <v/>
      </c>
      <c r="K52" s="34"/>
      <c r="L52" s="35"/>
      <c r="M52" s="34"/>
      <c r="N52" s="34"/>
      <c r="O52" s="2" t="str">
        <f t="shared" si="4"/>
        <v xml:space="preserve"> </v>
      </c>
      <c r="P52" s="45"/>
    </row>
    <row r="53" spans="1:16" s="36" customFormat="1" x14ac:dyDescent="0.2">
      <c r="A53" s="28">
        <v>1</v>
      </c>
      <c r="B53" s="29"/>
      <c r="C53" s="30" t="str">
        <f t="shared" si="0"/>
        <v/>
      </c>
      <c r="D53" s="31"/>
      <c r="E53" s="31"/>
      <c r="F53" s="32"/>
      <c r="G53" s="33" t="str">
        <f t="shared" si="2"/>
        <v/>
      </c>
      <c r="H53" s="32" t="str">
        <f t="shared" si="3"/>
        <v/>
      </c>
      <c r="I53" s="44"/>
      <c r="J53" s="31" t="str">
        <f t="shared" si="1"/>
        <v/>
      </c>
      <c r="K53" s="34"/>
      <c r="L53" s="35"/>
      <c r="M53" s="34"/>
      <c r="N53" s="34"/>
      <c r="O53" s="2" t="str">
        <f t="shared" si="4"/>
        <v xml:space="preserve"> </v>
      </c>
      <c r="P53" s="45"/>
    </row>
    <row r="54" spans="1:16" s="36" customFormat="1" x14ac:dyDescent="0.2">
      <c r="A54" s="28">
        <v>1</v>
      </c>
      <c r="B54" s="29"/>
      <c r="C54" s="30" t="str">
        <f t="shared" si="0"/>
        <v/>
      </c>
      <c r="D54" s="31"/>
      <c r="E54" s="31"/>
      <c r="F54" s="32"/>
      <c r="G54" s="33" t="str">
        <f t="shared" si="2"/>
        <v/>
      </c>
      <c r="H54" s="32" t="str">
        <f t="shared" si="3"/>
        <v/>
      </c>
      <c r="I54" s="44"/>
      <c r="J54" s="31" t="str">
        <f t="shared" si="1"/>
        <v/>
      </c>
      <c r="K54" s="34"/>
      <c r="L54" s="35"/>
      <c r="M54" s="34"/>
      <c r="N54" s="34"/>
      <c r="O54" s="2" t="str">
        <f t="shared" si="4"/>
        <v xml:space="preserve"> </v>
      </c>
      <c r="P54" s="45"/>
    </row>
    <row r="55" spans="1:16" s="36" customFormat="1" x14ac:dyDescent="0.2">
      <c r="A55" s="28">
        <v>1</v>
      </c>
      <c r="B55" s="29"/>
      <c r="C55" s="30" t="str">
        <f t="shared" si="0"/>
        <v/>
      </c>
      <c r="D55" s="31"/>
      <c r="E55" s="31"/>
      <c r="F55" s="32"/>
      <c r="G55" s="33" t="str">
        <f t="shared" si="2"/>
        <v/>
      </c>
      <c r="H55" s="32" t="str">
        <f t="shared" si="3"/>
        <v/>
      </c>
      <c r="I55" s="44"/>
      <c r="J55" s="31" t="str">
        <f t="shared" si="1"/>
        <v/>
      </c>
      <c r="K55" s="34"/>
      <c r="L55" s="35"/>
      <c r="M55" s="34"/>
      <c r="N55" s="34"/>
      <c r="O55" s="2" t="str">
        <f t="shared" si="4"/>
        <v xml:space="preserve"> </v>
      </c>
      <c r="P55" s="45"/>
    </row>
    <row r="56" spans="1:16" s="36" customFormat="1" x14ac:dyDescent="0.2">
      <c r="A56" s="28">
        <v>1</v>
      </c>
      <c r="B56" s="29"/>
      <c r="C56" s="30" t="str">
        <f t="shared" si="0"/>
        <v/>
      </c>
      <c r="D56" s="31"/>
      <c r="E56" s="31"/>
      <c r="F56" s="32"/>
      <c r="G56" s="33" t="str">
        <f t="shared" si="2"/>
        <v/>
      </c>
      <c r="H56" s="32" t="str">
        <f t="shared" si="3"/>
        <v/>
      </c>
      <c r="I56" s="44"/>
      <c r="J56" s="31" t="str">
        <f t="shared" si="1"/>
        <v/>
      </c>
      <c r="K56" s="34"/>
      <c r="L56" s="35"/>
      <c r="M56" s="34"/>
      <c r="N56" s="34"/>
      <c r="O56" s="2" t="str">
        <f t="shared" si="4"/>
        <v xml:space="preserve"> </v>
      </c>
      <c r="P56" s="45"/>
    </row>
    <row r="57" spans="1:16" s="36" customFormat="1" x14ac:dyDescent="0.2">
      <c r="A57" s="28">
        <v>1</v>
      </c>
      <c r="B57" s="29"/>
      <c r="C57" s="30" t="str">
        <f t="shared" si="0"/>
        <v/>
      </c>
      <c r="D57" s="31"/>
      <c r="E57" s="31"/>
      <c r="F57" s="32"/>
      <c r="G57" s="33" t="str">
        <f t="shared" si="2"/>
        <v/>
      </c>
      <c r="H57" s="32" t="str">
        <f t="shared" si="3"/>
        <v/>
      </c>
      <c r="I57" s="44"/>
      <c r="J57" s="31" t="str">
        <f t="shared" si="1"/>
        <v/>
      </c>
      <c r="K57" s="34"/>
      <c r="L57" s="35"/>
      <c r="M57" s="34"/>
      <c r="N57" s="34"/>
      <c r="O57" s="2" t="str">
        <f t="shared" si="4"/>
        <v xml:space="preserve"> </v>
      </c>
      <c r="P57" s="45"/>
    </row>
    <row r="58" spans="1:16" s="36" customFormat="1" x14ac:dyDescent="0.2">
      <c r="A58" s="28">
        <v>1</v>
      </c>
      <c r="B58" s="29"/>
      <c r="C58" s="30" t="str">
        <f t="shared" si="0"/>
        <v/>
      </c>
      <c r="D58" s="31"/>
      <c r="E58" s="31"/>
      <c r="F58" s="32"/>
      <c r="G58" s="33" t="str">
        <f t="shared" si="2"/>
        <v/>
      </c>
      <c r="H58" s="32" t="str">
        <f t="shared" si="3"/>
        <v/>
      </c>
      <c r="I58" s="44"/>
      <c r="J58" s="31" t="str">
        <f t="shared" si="1"/>
        <v/>
      </c>
      <c r="K58" s="34"/>
      <c r="L58" s="35"/>
      <c r="M58" s="34"/>
      <c r="N58" s="34"/>
      <c r="O58" s="2" t="str">
        <f t="shared" si="4"/>
        <v xml:space="preserve"> </v>
      </c>
      <c r="P58" s="45"/>
    </row>
    <row r="59" spans="1:16" s="36" customFormat="1" x14ac:dyDescent="0.2">
      <c r="A59" s="28">
        <v>1</v>
      </c>
      <c r="B59" s="29"/>
      <c r="C59" s="30" t="str">
        <f t="shared" si="0"/>
        <v/>
      </c>
      <c r="D59" s="31"/>
      <c r="E59" s="31"/>
      <c r="F59" s="32"/>
      <c r="G59" s="33" t="str">
        <f t="shared" si="2"/>
        <v/>
      </c>
      <c r="H59" s="32" t="str">
        <f t="shared" si="3"/>
        <v/>
      </c>
      <c r="I59" s="44"/>
      <c r="J59" s="31" t="str">
        <f t="shared" si="1"/>
        <v/>
      </c>
      <c r="K59" s="34"/>
      <c r="L59" s="35"/>
      <c r="M59" s="34"/>
      <c r="N59" s="34"/>
      <c r="O59" s="2" t="str">
        <f t="shared" si="4"/>
        <v xml:space="preserve"> </v>
      </c>
      <c r="P59" s="45"/>
    </row>
    <row r="60" spans="1:16" s="36" customFormat="1" x14ac:dyDescent="0.2">
      <c r="A60" s="28">
        <v>1</v>
      </c>
      <c r="B60" s="29"/>
      <c r="C60" s="30" t="str">
        <f t="shared" si="0"/>
        <v/>
      </c>
      <c r="D60" s="31"/>
      <c r="E60" s="31"/>
      <c r="F60" s="32"/>
      <c r="G60" s="33" t="str">
        <f t="shared" si="2"/>
        <v/>
      </c>
      <c r="H60" s="32" t="str">
        <f t="shared" si="3"/>
        <v/>
      </c>
      <c r="I60" s="44"/>
      <c r="J60" s="31" t="str">
        <f t="shared" si="1"/>
        <v/>
      </c>
      <c r="K60" s="34"/>
      <c r="L60" s="35"/>
      <c r="M60" s="34"/>
      <c r="N60" s="34"/>
      <c r="O60" s="2" t="str">
        <f t="shared" si="4"/>
        <v xml:space="preserve"> </v>
      </c>
      <c r="P60" s="45"/>
    </row>
    <row r="61" spans="1:16" s="36" customFormat="1" x14ac:dyDescent="0.2">
      <c r="A61" s="28">
        <v>1</v>
      </c>
      <c r="B61" s="29"/>
      <c r="C61" s="30" t="str">
        <f t="shared" si="0"/>
        <v/>
      </c>
      <c r="D61" s="31"/>
      <c r="E61" s="31"/>
      <c r="F61" s="32"/>
      <c r="G61" s="33" t="str">
        <f t="shared" si="2"/>
        <v/>
      </c>
      <c r="H61" s="32" t="str">
        <f t="shared" si="3"/>
        <v/>
      </c>
      <c r="I61" s="44"/>
      <c r="J61" s="31" t="str">
        <f t="shared" si="1"/>
        <v/>
      </c>
      <c r="K61" s="34"/>
      <c r="L61" s="35"/>
      <c r="M61" s="34"/>
      <c r="N61" s="34"/>
      <c r="O61" s="2" t="str">
        <f t="shared" si="4"/>
        <v xml:space="preserve"> </v>
      </c>
      <c r="P61" s="45"/>
    </row>
    <row r="62" spans="1:16" s="36" customFormat="1" x14ac:dyDescent="0.2">
      <c r="A62" s="28">
        <v>1</v>
      </c>
      <c r="B62" s="29"/>
      <c r="C62" s="30" t="str">
        <f t="shared" si="0"/>
        <v/>
      </c>
      <c r="D62" s="31"/>
      <c r="E62" s="31"/>
      <c r="F62" s="32"/>
      <c r="G62" s="33" t="str">
        <f t="shared" si="2"/>
        <v/>
      </c>
      <c r="H62" s="32" t="str">
        <f t="shared" si="3"/>
        <v/>
      </c>
      <c r="I62" s="44"/>
      <c r="J62" s="31" t="str">
        <f t="shared" si="1"/>
        <v/>
      </c>
      <c r="K62" s="34"/>
      <c r="L62" s="35"/>
      <c r="M62" s="34"/>
      <c r="N62" s="34"/>
      <c r="O62" s="2" t="str">
        <f t="shared" si="4"/>
        <v xml:space="preserve"> </v>
      </c>
      <c r="P62" s="45"/>
    </row>
    <row r="63" spans="1:16" s="36" customFormat="1" x14ac:dyDescent="0.2">
      <c r="A63" s="28">
        <v>1</v>
      </c>
      <c r="B63" s="29"/>
      <c r="C63" s="30" t="str">
        <f t="shared" si="0"/>
        <v/>
      </c>
      <c r="D63" s="31"/>
      <c r="E63" s="31"/>
      <c r="F63" s="32"/>
      <c r="G63" s="33" t="str">
        <f t="shared" si="2"/>
        <v/>
      </c>
      <c r="H63" s="32" t="str">
        <f t="shared" si="3"/>
        <v/>
      </c>
      <c r="I63" s="44"/>
      <c r="J63" s="31" t="str">
        <f t="shared" si="1"/>
        <v/>
      </c>
      <c r="K63" s="34"/>
      <c r="L63" s="35"/>
      <c r="M63" s="34"/>
      <c r="N63" s="34"/>
      <c r="O63" s="2" t="str">
        <f t="shared" si="4"/>
        <v xml:space="preserve"> </v>
      </c>
      <c r="P63" s="45"/>
    </row>
    <row r="64" spans="1:16" s="36" customFormat="1" x14ac:dyDescent="0.2">
      <c r="A64" s="28">
        <v>1</v>
      </c>
      <c r="B64" s="29"/>
      <c r="C64" s="30" t="str">
        <f t="shared" si="0"/>
        <v/>
      </c>
      <c r="D64" s="31"/>
      <c r="E64" s="31"/>
      <c r="F64" s="32"/>
      <c r="G64" s="33" t="str">
        <f t="shared" si="2"/>
        <v/>
      </c>
      <c r="H64" s="32" t="str">
        <f t="shared" si="3"/>
        <v/>
      </c>
      <c r="I64" s="44"/>
      <c r="J64" s="31" t="str">
        <f t="shared" si="1"/>
        <v/>
      </c>
      <c r="K64" s="34"/>
      <c r="L64" s="35"/>
      <c r="M64" s="34"/>
      <c r="N64" s="34"/>
      <c r="O64" s="2" t="str">
        <f t="shared" si="4"/>
        <v xml:space="preserve"> </v>
      </c>
      <c r="P64" s="45"/>
    </row>
    <row r="65" spans="1:16" s="36" customFormat="1" x14ac:dyDescent="0.2">
      <c r="A65" s="28">
        <v>1</v>
      </c>
      <c r="B65" s="29"/>
      <c r="C65" s="30" t="str">
        <f t="shared" si="0"/>
        <v/>
      </c>
      <c r="D65" s="31"/>
      <c r="E65" s="31"/>
      <c r="F65" s="32"/>
      <c r="G65" s="33" t="str">
        <f t="shared" si="2"/>
        <v/>
      </c>
      <c r="H65" s="32" t="str">
        <f t="shared" si="3"/>
        <v/>
      </c>
      <c r="I65" s="44"/>
      <c r="J65" s="31" t="str">
        <f t="shared" si="1"/>
        <v/>
      </c>
      <c r="K65" s="34"/>
      <c r="L65" s="35"/>
      <c r="M65" s="34"/>
      <c r="N65" s="34"/>
      <c r="O65" s="2" t="str">
        <f t="shared" si="4"/>
        <v xml:space="preserve"> </v>
      </c>
      <c r="P65" s="45"/>
    </row>
    <row r="66" spans="1:16" s="36" customFormat="1" x14ac:dyDescent="0.2">
      <c r="A66" s="28">
        <v>1</v>
      </c>
      <c r="B66" s="29"/>
      <c r="C66" s="30" t="str">
        <f t="shared" si="0"/>
        <v/>
      </c>
      <c r="D66" s="31"/>
      <c r="E66" s="31"/>
      <c r="F66" s="32"/>
      <c r="G66" s="33" t="str">
        <f t="shared" si="2"/>
        <v/>
      </c>
      <c r="H66" s="32" t="str">
        <f t="shared" si="3"/>
        <v/>
      </c>
      <c r="I66" s="44"/>
      <c r="J66" s="31" t="str">
        <f t="shared" si="1"/>
        <v/>
      </c>
      <c r="K66" s="34"/>
      <c r="L66" s="35"/>
      <c r="M66" s="34"/>
      <c r="N66" s="34"/>
      <c r="O66" s="2" t="str">
        <f t="shared" si="4"/>
        <v xml:space="preserve"> </v>
      </c>
      <c r="P66" s="45"/>
    </row>
    <row r="67" spans="1:16" s="36" customFormat="1" x14ac:dyDescent="0.2">
      <c r="A67" s="28">
        <v>1</v>
      </c>
      <c r="B67" s="29"/>
      <c r="C67" s="30" t="str">
        <f t="shared" si="0"/>
        <v/>
      </c>
      <c r="D67" s="31"/>
      <c r="E67" s="31"/>
      <c r="F67" s="32"/>
      <c r="G67" s="33" t="str">
        <f t="shared" si="2"/>
        <v/>
      </c>
      <c r="H67" s="32" t="str">
        <f t="shared" si="3"/>
        <v/>
      </c>
      <c r="I67" s="44"/>
      <c r="J67" s="31" t="str">
        <f t="shared" si="1"/>
        <v/>
      </c>
      <c r="K67" s="34"/>
      <c r="L67" s="35"/>
      <c r="M67" s="34"/>
      <c r="N67" s="34"/>
      <c r="O67" s="2" t="str">
        <f t="shared" si="4"/>
        <v xml:space="preserve"> </v>
      </c>
      <c r="P67" s="45"/>
    </row>
    <row r="68" spans="1:16" s="36" customFormat="1" x14ac:dyDescent="0.2">
      <c r="A68" s="28">
        <v>1</v>
      </c>
      <c r="B68" s="29"/>
      <c r="C68" s="30" t="str">
        <f t="shared" si="0"/>
        <v/>
      </c>
      <c r="D68" s="31"/>
      <c r="E68" s="31"/>
      <c r="F68" s="32"/>
      <c r="G68" s="33" t="str">
        <f t="shared" si="2"/>
        <v/>
      </c>
      <c r="H68" s="32" t="str">
        <f t="shared" si="3"/>
        <v/>
      </c>
      <c r="I68" s="44"/>
      <c r="J68" s="31" t="str">
        <f t="shared" si="1"/>
        <v/>
      </c>
      <c r="K68" s="34"/>
      <c r="L68" s="35"/>
      <c r="M68" s="34"/>
      <c r="N68" s="34"/>
      <c r="O68" s="2" t="str">
        <f t="shared" si="4"/>
        <v xml:space="preserve"> </v>
      </c>
      <c r="P68" s="45"/>
    </row>
    <row r="69" spans="1:16" s="36" customFormat="1" x14ac:dyDescent="0.2">
      <c r="A69" s="28">
        <v>1</v>
      </c>
      <c r="B69" s="29"/>
      <c r="C69" s="30" t="str">
        <f t="shared" ref="C69:C132" si="5">IF(B69="","",TEXT(DAY(B69),"00")&amp;"/"&amp;TEXT(MONTH(B69),"00"))</f>
        <v/>
      </c>
      <c r="D69" s="31"/>
      <c r="E69" s="31"/>
      <c r="F69" s="32"/>
      <c r="G69" s="33" t="str">
        <f t="shared" si="2"/>
        <v/>
      </c>
      <c r="H69" s="32" t="str">
        <f t="shared" si="3"/>
        <v/>
      </c>
      <c r="I69" s="44"/>
      <c r="J69" s="31" t="str">
        <f t="shared" si="1"/>
        <v/>
      </c>
      <c r="K69" s="34"/>
      <c r="L69" s="35"/>
      <c r="M69" s="34"/>
      <c r="N69" s="34"/>
      <c r="O69" s="2" t="str">
        <f t="shared" si="4"/>
        <v xml:space="preserve"> </v>
      </c>
      <c r="P69" s="45"/>
    </row>
    <row r="70" spans="1:16" s="36" customFormat="1" x14ac:dyDescent="0.2">
      <c r="A70" s="28">
        <v>1</v>
      </c>
      <c r="B70" s="29"/>
      <c r="C70" s="30" t="str">
        <f t="shared" si="5"/>
        <v/>
      </c>
      <c r="D70" s="31"/>
      <c r="E70" s="31"/>
      <c r="F70" s="32"/>
      <c r="G70" s="33" t="str">
        <f t="shared" si="2"/>
        <v/>
      </c>
      <c r="H70" s="32" t="str">
        <f t="shared" si="3"/>
        <v/>
      </c>
      <c r="I70" s="44"/>
      <c r="J70" s="31" t="str">
        <f t="shared" si="1"/>
        <v/>
      </c>
      <c r="K70" s="34"/>
      <c r="L70" s="35"/>
      <c r="M70" s="34"/>
      <c r="N70" s="34"/>
      <c r="O70" s="2" t="str">
        <f t="shared" si="4"/>
        <v xml:space="preserve"> </v>
      </c>
      <c r="P70" s="45"/>
    </row>
    <row r="71" spans="1:16" s="36" customFormat="1" x14ac:dyDescent="0.2">
      <c r="A71" s="28">
        <v>1</v>
      </c>
      <c r="B71" s="29"/>
      <c r="C71" s="30" t="str">
        <f t="shared" si="5"/>
        <v/>
      </c>
      <c r="D71" s="31"/>
      <c r="E71" s="31"/>
      <c r="F71" s="32"/>
      <c r="G71" s="33" t="str">
        <f t="shared" ref="G71:G134" si="6">IF(F71&lt;&gt;"",F71+G70,"")</f>
        <v/>
      </c>
      <c r="H71" s="32" t="str">
        <f t="shared" ref="H71:H134" si="7">IF(F71&lt;&gt;"",ABS(F71),"")</f>
        <v/>
      </c>
      <c r="I71" s="44"/>
      <c r="J71" s="31" t="str">
        <f t="shared" ref="J71:J134" si="8">IF(F71=0,"",IF(F71&lt;0,"PAGAMENTO","RECEBIMENTO"))</f>
        <v/>
      </c>
      <c r="K71" s="34"/>
      <c r="L71" s="35"/>
      <c r="M71" s="34"/>
      <c r="N71" s="34"/>
      <c r="O71" s="2" t="str">
        <f t="shared" ref="O71:O134" si="9">CONCATENATE(K71," ",N71)</f>
        <v xml:space="preserve"> </v>
      </c>
      <c r="P71" s="45"/>
    </row>
    <row r="72" spans="1:16" s="36" customFormat="1" x14ac:dyDescent="0.2">
      <c r="A72" s="28">
        <v>1</v>
      </c>
      <c r="B72" s="29"/>
      <c r="C72" s="30" t="str">
        <f t="shared" si="5"/>
        <v/>
      </c>
      <c r="D72" s="31"/>
      <c r="E72" s="31"/>
      <c r="F72" s="32"/>
      <c r="G72" s="33" t="str">
        <f t="shared" si="6"/>
        <v/>
      </c>
      <c r="H72" s="32" t="str">
        <f t="shared" si="7"/>
        <v/>
      </c>
      <c r="I72" s="44"/>
      <c r="J72" s="31" t="str">
        <f t="shared" si="8"/>
        <v/>
      </c>
      <c r="K72" s="34"/>
      <c r="L72" s="35"/>
      <c r="M72" s="34"/>
      <c r="N72" s="34"/>
      <c r="O72" s="2" t="str">
        <f t="shared" si="9"/>
        <v xml:space="preserve"> </v>
      </c>
      <c r="P72" s="45"/>
    </row>
    <row r="73" spans="1:16" s="36" customFormat="1" x14ac:dyDescent="0.2">
      <c r="A73" s="28">
        <v>1</v>
      </c>
      <c r="B73" s="29"/>
      <c r="C73" s="30" t="str">
        <f t="shared" si="5"/>
        <v/>
      </c>
      <c r="D73" s="31"/>
      <c r="E73" s="31"/>
      <c r="F73" s="32"/>
      <c r="G73" s="33" t="str">
        <f t="shared" si="6"/>
        <v/>
      </c>
      <c r="H73" s="32" t="str">
        <f t="shared" si="7"/>
        <v/>
      </c>
      <c r="I73" s="44"/>
      <c r="J73" s="31" t="str">
        <f t="shared" si="8"/>
        <v/>
      </c>
      <c r="K73" s="34"/>
      <c r="L73" s="35"/>
      <c r="M73" s="34"/>
      <c r="N73" s="34"/>
      <c r="O73" s="2" t="str">
        <f t="shared" si="9"/>
        <v xml:space="preserve"> </v>
      </c>
      <c r="P73" s="45"/>
    </row>
    <row r="74" spans="1:16" s="36" customFormat="1" x14ac:dyDescent="0.2">
      <c r="A74" s="28">
        <v>1</v>
      </c>
      <c r="B74" s="29"/>
      <c r="C74" s="30" t="str">
        <f t="shared" si="5"/>
        <v/>
      </c>
      <c r="D74" s="31"/>
      <c r="E74" s="31"/>
      <c r="F74" s="32"/>
      <c r="G74" s="33" t="str">
        <f t="shared" si="6"/>
        <v/>
      </c>
      <c r="H74" s="32" t="str">
        <f t="shared" si="7"/>
        <v/>
      </c>
      <c r="I74" s="44"/>
      <c r="J74" s="31" t="str">
        <f t="shared" si="8"/>
        <v/>
      </c>
      <c r="K74" s="34"/>
      <c r="L74" s="35"/>
      <c r="M74" s="34"/>
      <c r="N74" s="34"/>
      <c r="O74" s="2" t="str">
        <f t="shared" si="9"/>
        <v xml:space="preserve"> </v>
      </c>
      <c r="P74" s="45"/>
    </row>
    <row r="75" spans="1:16" s="36" customFormat="1" x14ac:dyDescent="0.2">
      <c r="A75" s="28">
        <v>1</v>
      </c>
      <c r="B75" s="29"/>
      <c r="C75" s="30" t="str">
        <f t="shared" si="5"/>
        <v/>
      </c>
      <c r="D75" s="31"/>
      <c r="E75" s="31"/>
      <c r="F75" s="32"/>
      <c r="G75" s="33" t="str">
        <f t="shared" si="6"/>
        <v/>
      </c>
      <c r="H75" s="32" t="str">
        <f t="shared" si="7"/>
        <v/>
      </c>
      <c r="I75" s="44"/>
      <c r="J75" s="31" t="str">
        <f t="shared" si="8"/>
        <v/>
      </c>
      <c r="K75" s="34"/>
      <c r="L75" s="35"/>
      <c r="M75" s="34"/>
      <c r="N75" s="34"/>
      <c r="O75" s="2" t="str">
        <f t="shared" si="9"/>
        <v xml:space="preserve"> </v>
      </c>
      <c r="P75" s="45"/>
    </row>
    <row r="76" spans="1:16" s="36" customFormat="1" x14ac:dyDescent="0.2">
      <c r="A76" s="28">
        <v>1</v>
      </c>
      <c r="B76" s="29"/>
      <c r="C76" s="30" t="str">
        <f t="shared" si="5"/>
        <v/>
      </c>
      <c r="D76" s="31"/>
      <c r="E76" s="31"/>
      <c r="F76" s="32"/>
      <c r="G76" s="33" t="str">
        <f t="shared" si="6"/>
        <v/>
      </c>
      <c r="H76" s="32" t="str">
        <f t="shared" si="7"/>
        <v/>
      </c>
      <c r="I76" s="44"/>
      <c r="J76" s="31" t="str">
        <f t="shared" si="8"/>
        <v/>
      </c>
      <c r="K76" s="34"/>
      <c r="L76" s="35"/>
      <c r="M76" s="34"/>
      <c r="N76" s="34"/>
      <c r="O76" s="2" t="str">
        <f t="shared" si="9"/>
        <v xml:space="preserve"> </v>
      </c>
      <c r="P76" s="45"/>
    </row>
    <row r="77" spans="1:16" s="36" customFormat="1" x14ac:dyDescent="0.2">
      <c r="A77" s="28">
        <v>1</v>
      </c>
      <c r="B77" s="29"/>
      <c r="C77" s="30" t="str">
        <f t="shared" si="5"/>
        <v/>
      </c>
      <c r="D77" s="31"/>
      <c r="E77" s="31"/>
      <c r="F77" s="32"/>
      <c r="G77" s="33" t="str">
        <f t="shared" si="6"/>
        <v/>
      </c>
      <c r="H77" s="32" t="str">
        <f t="shared" si="7"/>
        <v/>
      </c>
      <c r="I77" s="44"/>
      <c r="J77" s="31" t="str">
        <f t="shared" si="8"/>
        <v/>
      </c>
      <c r="K77" s="34"/>
      <c r="L77" s="35"/>
      <c r="M77" s="34"/>
      <c r="N77" s="34"/>
      <c r="O77" s="2" t="str">
        <f t="shared" si="9"/>
        <v xml:space="preserve"> </v>
      </c>
      <c r="P77" s="45"/>
    </row>
    <row r="78" spans="1:16" s="36" customFormat="1" x14ac:dyDescent="0.2">
      <c r="A78" s="28">
        <v>1</v>
      </c>
      <c r="B78" s="29"/>
      <c r="C78" s="30" t="str">
        <f t="shared" si="5"/>
        <v/>
      </c>
      <c r="D78" s="31"/>
      <c r="E78" s="31"/>
      <c r="F78" s="32"/>
      <c r="G78" s="33" t="str">
        <f t="shared" si="6"/>
        <v/>
      </c>
      <c r="H78" s="32" t="str">
        <f t="shared" si="7"/>
        <v/>
      </c>
      <c r="I78" s="44"/>
      <c r="J78" s="31" t="str">
        <f t="shared" si="8"/>
        <v/>
      </c>
      <c r="K78" s="34"/>
      <c r="L78" s="35"/>
      <c r="M78" s="34"/>
      <c r="N78" s="34"/>
      <c r="O78" s="2" t="str">
        <f t="shared" si="9"/>
        <v xml:space="preserve"> </v>
      </c>
      <c r="P78" s="45"/>
    </row>
    <row r="79" spans="1:16" s="36" customFormat="1" x14ac:dyDescent="0.2">
      <c r="A79" s="28">
        <v>1</v>
      </c>
      <c r="B79" s="29"/>
      <c r="C79" s="30" t="str">
        <f t="shared" si="5"/>
        <v/>
      </c>
      <c r="D79" s="31"/>
      <c r="E79" s="31"/>
      <c r="F79" s="32"/>
      <c r="G79" s="33" t="str">
        <f t="shared" si="6"/>
        <v/>
      </c>
      <c r="H79" s="32" t="str">
        <f t="shared" si="7"/>
        <v/>
      </c>
      <c r="I79" s="44"/>
      <c r="J79" s="31" t="str">
        <f t="shared" si="8"/>
        <v/>
      </c>
      <c r="K79" s="34"/>
      <c r="L79" s="35"/>
      <c r="M79" s="34"/>
      <c r="N79" s="34"/>
      <c r="O79" s="2" t="str">
        <f t="shared" si="9"/>
        <v xml:space="preserve"> </v>
      </c>
      <c r="P79" s="45"/>
    </row>
    <row r="80" spans="1:16" s="36" customFormat="1" x14ac:dyDescent="0.2">
      <c r="A80" s="28">
        <v>1</v>
      </c>
      <c r="B80" s="29"/>
      <c r="C80" s="30" t="str">
        <f t="shared" si="5"/>
        <v/>
      </c>
      <c r="D80" s="31"/>
      <c r="E80" s="31"/>
      <c r="F80" s="32"/>
      <c r="G80" s="33" t="str">
        <f t="shared" si="6"/>
        <v/>
      </c>
      <c r="H80" s="32" t="str">
        <f t="shared" si="7"/>
        <v/>
      </c>
      <c r="I80" s="44"/>
      <c r="J80" s="31" t="str">
        <f t="shared" si="8"/>
        <v/>
      </c>
      <c r="K80" s="34"/>
      <c r="L80" s="35"/>
      <c r="M80" s="34"/>
      <c r="N80" s="34"/>
      <c r="O80" s="2" t="str">
        <f t="shared" si="9"/>
        <v xml:space="preserve"> </v>
      </c>
      <c r="P80" s="45"/>
    </row>
    <row r="81" spans="1:16" s="36" customFormat="1" x14ac:dyDescent="0.2">
      <c r="A81" s="28">
        <v>1</v>
      </c>
      <c r="B81" s="29"/>
      <c r="C81" s="30" t="str">
        <f t="shared" si="5"/>
        <v/>
      </c>
      <c r="D81" s="31"/>
      <c r="E81" s="31"/>
      <c r="F81" s="32"/>
      <c r="G81" s="33" t="str">
        <f t="shared" si="6"/>
        <v/>
      </c>
      <c r="H81" s="32" t="str">
        <f t="shared" si="7"/>
        <v/>
      </c>
      <c r="I81" s="44"/>
      <c r="J81" s="31" t="str">
        <f t="shared" si="8"/>
        <v/>
      </c>
      <c r="K81" s="34"/>
      <c r="L81" s="35"/>
      <c r="M81" s="34"/>
      <c r="N81" s="34"/>
      <c r="O81" s="2" t="str">
        <f t="shared" si="9"/>
        <v xml:space="preserve"> </v>
      </c>
      <c r="P81" s="45"/>
    </row>
    <row r="82" spans="1:16" s="36" customFormat="1" x14ac:dyDescent="0.2">
      <c r="A82" s="28">
        <v>1</v>
      </c>
      <c r="B82" s="29"/>
      <c r="C82" s="30" t="str">
        <f t="shared" si="5"/>
        <v/>
      </c>
      <c r="D82" s="31"/>
      <c r="E82" s="31"/>
      <c r="F82" s="32"/>
      <c r="G82" s="33" t="str">
        <f t="shared" si="6"/>
        <v/>
      </c>
      <c r="H82" s="32" t="str">
        <f t="shared" si="7"/>
        <v/>
      </c>
      <c r="I82" s="44"/>
      <c r="J82" s="31" t="str">
        <f t="shared" si="8"/>
        <v/>
      </c>
      <c r="K82" s="34"/>
      <c r="L82" s="35"/>
      <c r="M82" s="34"/>
      <c r="N82" s="34"/>
      <c r="O82" s="2" t="str">
        <f t="shared" si="9"/>
        <v xml:space="preserve"> </v>
      </c>
      <c r="P82" s="45"/>
    </row>
    <row r="83" spans="1:16" s="36" customFormat="1" x14ac:dyDescent="0.2">
      <c r="A83" s="28">
        <v>1</v>
      </c>
      <c r="B83" s="29"/>
      <c r="C83" s="30" t="str">
        <f t="shared" si="5"/>
        <v/>
      </c>
      <c r="D83" s="31"/>
      <c r="E83" s="31"/>
      <c r="F83" s="32"/>
      <c r="G83" s="33" t="str">
        <f t="shared" si="6"/>
        <v/>
      </c>
      <c r="H83" s="32" t="str">
        <f t="shared" si="7"/>
        <v/>
      </c>
      <c r="I83" s="44"/>
      <c r="J83" s="31" t="str">
        <f t="shared" si="8"/>
        <v/>
      </c>
      <c r="K83" s="34"/>
      <c r="L83" s="35"/>
      <c r="M83" s="34"/>
      <c r="N83" s="34"/>
      <c r="O83" s="2" t="str">
        <f t="shared" si="9"/>
        <v xml:space="preserve"> </v>
      </c>
      <c r="P83" s="45"/>
    </row>
    <row r="84" spans="1:16" s="36" customFormat="1" x14ac:dyDescent="0.2">
      <c r="A84" s="28">
        <v>1</v>
      </c>
      <c r="B84" s="29"/>
      <c r="C84" s="30" t="str">
        <f t="shared" si="5"/>
        <v/>
      </c>
      <c r="D84" s="31"/>
      <c r="E84" s="31"/>
      <c r="F84" s="32"/>
      <c r="G84" s="33" t="str">
        <f t="shared" si="6"/>
        <v/>
      </c>
      <c r="H84" s="32" t="str">
        <f t="shared" si="7"/>
        <v/>
      </c>
      <c r="I84" s="44"/>
      <c r="J84" s="31" t="str">
        <f t="shared" si="8"/>
        <v/>
      </c>
      <c r="K84" s="34"/>
      <c r="L84" s="35"/>
      <c r="M84" s="34"/>
      <c r="N84" s="34"/>
      <c r="O84" s="2" t="str">
        <f t="shared" si="9"/>
        <v xml:space="preserve"> </v>
      </c>
      <c r="P84" s="45"/>
    </row>
    <row r="85" spans="1:16" s="36" customFormat="1" x14ac:dyDescent="0.2">
      <c r="A85" s="28">
        <v>1</v>
      </c>
      <c r="B85" s="29"/>
      <c r="C85" s="30" t="str">
        <f t="shared" si="5"/>
        <v/>
      </c>
      <c r="D85" s="31"/>
      <c r="E85" s="31"/>
      <c r="F85" s="32"/>
      <c r="G85" s="33" t="str">
        <f t="shared" si="6"/>
        <v/>
      </c>
      <c r="H85" s="32" t="str">
        <f t="shared" si="7"/>
        <v/>
      </c>
      <c r="I85" s="44"/>
      <c r="J85" s="31" t="str">
        <f t="shared" si="8"/>
        <v/>
      </c>
      <c r="K85" s="34"/>
      <c r="L85" s="35"/>
      <c r="M85" s="34"/>
      <c r="N85" s="34"/>
      <c r="O85" s="2" t="str">
        <f t="shared" si="9"/>
        <v xml:space="preserve"> </v>
      </c>
      <c r="P85" s="45"/>
    </row>
    <row r="86" spans="1:16" s="36" customFormat="1" x14ac:dyDescent="0.2">
      <c r="A86" s="28">
        <v>1</v>
      </c>
      <c r="B86" s="29"/>
      <c r="C86" s="30" t="str">
        <f t="shared" si="5"/>
        <v/>
      </c>
      <c r="D86" s="31"/>
      <c r="E86" s="31"/>
      <c r="F86" s="32"/>
      <c r="G86" s="33" t="str">
        <f t="shared" si="6"/>
        <v/>
      </c>
      <c r="H86" s="32" t="str">
        <f t="shared" si="7"/>
        <v/>
      </c>
      <c r="I86" s="44"/>
      <c r="J86" s="31" t="str">
        <f t="shared" si="8"/>
        <v/>
      </c>
      <c r="K86" s="34"/>
      <c r="L86" s="35"/>
      <c r="M86" s="34"/>
      <c r="N86" s="34"/>
      <c r="O86" s="2" t="str">
        <f t="shared" si="9"/>
        <v xml:space="preserve"> </v>
      </c>
      <c r="P86" s="45"/>
    </row>
    <row r="87" spans="1:16" s="36" customFormat="1" x14ac:dyDescent="0.2">
      <c r="A87" s="28">
        <v>1</v>
      </c>
      <c r="B87" s="29"/>
      <c r="C87" s="30" t="str">
        <f t="shared" si="5"/>
        <v/>
      </c>
      <c r="D87" s="31"/>
      <c r="E87" s="31"/>
      <c r="F87" s="32"/>
      <c r="G87" s="33" t="str">
        <f t="shared" si="6"/>
        <v/>
      </c>
      <c r="H87" s="32" t="str">
        <f t="shared" si="7"/>
        <v/>
      </c>
      <c r="I87" s="44"/>
      <c r="J87" s="31" t="str">
        <f t="shared" si="8"/>
        <v/>
      </c>
      <c r="K87" s="34"/>
      <c r="L87" s="35"/>
      <c r="M87" s="34"/>
      <c r="N87" s="34"/>
      <c r="O87" s="2" t="str">
        <f t="shared" si="9"/>
        <v xml:space="preserve"> </v>
      </c>
      <c r="P87" s="45"/>
    </row>
    <row r="88" spans="1:16" s="36" customFormat="1" x14ac:dyDescent="0.2">
      <c r="A88" s="28">
        <v>1</v>
      </c>
      <c r="B88" s="29"/>
      <c r="C88" s="30" t="str">
        <f t="shared" si="5"/>
        <v/>
      </c>
      <c r="D88" s="31"/>
      <c r="E88" s="31"/>
      <c r="F88" s="32"/>
      <c r="G88" s="33" t="str">
        <f t="shared" si="6"/>
        <v/>
      </c>
      <c r="H88" s="32" t="str">
        <f t="shared" si="7"/>
        <v/>
      </c>
      <c r="I88" s="44"/>
      <c r="J88" s="31" t="str">
        <f t="shared" si="8"/>
        <v/>
      </c>
      <c r="K88" s="34"/>
      <c r="L88" s="35"/>
      <c r="M88" s="34"/>
      <c r="N88" s="34"/>
      <c r="O88" s="2" t="str">
        <f t="shared" si="9"/>
        <v xml:space="preserve"> </v>
      </c>
      <c r="P88" s="45"/>
    </row>
    <row r="89" spans="1:16" s="36" customFormat="1" x14ac:dyDescent="0.2">
      <c r="A89" s="28">
        <v>1</v>
      </c>
      <c r="B89" s="29"/>
      <c r="C89" s="30" t="str">
        <f t="shared" si="5"/>
        <v/>
      </c>
      <c r="D89" s="31"/>
      <c r="E89" s="31"/>
      <c r="F89" s="33"/>
      <c r="G89" s="33" t="str">
        <f t="shared" si="6"/>
        <v/>
      </c>
      <c r="H89" s="32" t="str">
        <f t="shared" si="7"/>
        <v/>
      </c>
      <c r="I89" s="44"/>
      <c r="J89" s="31" t="str">
        <f t="shared" si="8"/>
        <v/>
      </c>
      <c r="K89" s="34"/>
      <c r="L89" s="35"/>
      <c r="M89" s="34"/>
      <c r="N89" s="34"/>
      <c r="O89" s="2" t="str">
        <f t="shared" si="9"/>
        <v xml:space="preserve"> </v>
      </c>
      <c r="P89" s="45"/>
    </row>
    <row r="90" spans="1:16" s="36" customFormat="1" x14ac:dyDescent="0.2">
      <c r="A90" s="28">
        <v>1</v>
      </c>
      <c r="B90" s="29"/>
      <c r="C90" s="30" t="str">
        <f t="shared" si="5"/>
        <v/>
      </c>
      <c r="D90" s="31"/>
      <c r="E90" s="31"/>
      <c r="F90" s="32"/>
      <c r="G90" s="33" t="str">
        <f t="shared" si="6"/>
        <v/>
      </c>
      <c r="H90" s="32" t="str">
        <f t="shared" si="7"/>
        <v/>
      </c>
      <c r="I90" s="44"/>
      <c r="J90" s="31" t="str">
        <f t="shared" si="8"/>
        <v/>
      </c>
      <c r="K90" s="34"/>
      <c r="L90" s="35"/>
      <c r="M90" s="34"/>
      <c r="N90" s="34"/>
      <c r="O90" s="2" t="str">
        <f t="shared" si="9"/>
        <v xml:space="preserve"> </v>
      </c>
      <c r="P90" s="45"/>
    </row>
    <row r="91" spans="1:16" s="36" customFormat="1" x14ac:dyDescent="0.2">
      <c r="A91" s="28">
        <v>1</v>
      </c>
      <c r="B91" s="29"/>
      <c r="C91" s="30" t="str">
        <f t="shared" si="5"/>
        <v/>
      </c>
      <c r="D91" s="31"/>
      <c r="E91" s="31"/>
      <c r="F91" s="32"/>
      <c r="G91" s="33" t="str">
        <f t="shared" si="6"/>
        <v/>
      </c>
      <c r="H91" s="32" t="str">
        <f t="shared" si="7"/>
        <v/>
      </c>
      <c r="I91" s="44"/>
      <c r="J91" s="31" t="str">
        <f t="shared" si="8"/>
        <v/>
      </c>
      <c r="K91" s="34"/>
      <c r="L91" s="35"/>
      <c r="M91" s="34"/>
      <c r="N91" s="34"/>
      <c r="O91" s="2" t="str">
        <f t="shared" si="9"/>
        <v xml:space="preserve"> </v>
      </c>
      <c r="P91" s="45"/>
    </row>
    <row r="92" spans="1:16" s="36" customFormat="1" x14ac:dyDescent="0.2">
      <c r="A92" s="28">
        <v>1</v>
      </c>
      <c r="B92" s="29"/>
      <c r="C92" s="30" t="str">
        <f t="shared" si="5"/>
        <v/>
      </c>
      <c r="D92" s="31"/>
      <c r="E92" s="31"/>
      <c r="F92" s="32"/>
      <c r="G92" s="33" t="str">
        <f t="shared" si="6"/>
        <v/>
      </c>
      <c r="H92" s="32" t="str">
        <f t="shared" si="7"/>
        <v/>
      </c>
      <c r="I92" s="44"/>
      <c r="J92" s="31" t="str">
        <f t="shared" si="8"/>
        <v/>
      </c>
      <c r="K92" s="34"/>
      <c r="L92" s="35"/>
      <c r="M92" s="34"/>
      <c r="N92" s="34"/>
      <c r="O92" s="2" t="str">
        <f t="shared" si="9"/>
        <v xml:space="preserve"> </v>
      </c>
      <c r="P92" s="45"/>
    </row>
    <row r="93" spans="1:16" s="36" customFormat="1" x14ac:dyDescent="0.2">
      <c r="A93" s="28">
        <v>1</v>
      </c>
      <c r="B93" s="29"/>
      <c r="C93" s="30" t="str">
        <f t="shared" si="5"/>
        <v/>
      </c>
      <c r="D93" s="31"/>
      <c r="E93" s="31"/>
      <c r="F93" s="32"/>
      <c r="G93" s="33" t="str">
        <f t="shared" si="6"/>
        <v/>
      </c>
      <c r="H93" s="32" t="str">
        <f t="shared" si="7"/>
        <v/>
      </c>
      <c r="I93" s="44"/>
      <c r="J93" s="31" t="str">
        <f t="shared" si="8"/>
        <v/>
      </c>
      <c r="K93" s="34"/>
      <c r="L93" s="35"/>
      <c r="M93" s="34"/>
      <c r="N93" s="34"/>
      <c r="O93" s="2" t="str">
        <f t="shared" si="9"/>
        <v xml:space="preserve"> </v>
      </c>
      <c r="P93" s="45"/>
    </row>
    <row r="94" spans="1:16" s="36" customFormat="1" x14ac:dyDescent="0.2">
      <c r="A94" s="28">
        <v>1</v>
      </c>
      <c r="B94" s="29"/>
      <c r="C94" s="30" t="str">
        <f t="shared" si="5"/>
        <v/>
      </c>
      <c r="D94" s="31"/>
      <c r="E94" s="31"/>
      <c r="F94" s="32"/>
      <c r="G94" s="33" t="str">
        <f t="shared" si="6"/>
        <v/>
      </c>
      <c r="H94" s="32" t="str">
        <f t="shared" si="7"/>
        <v/>
      </c>
      <c r="I94" s="44"/>
      <c r="J94" s="31" t="str">
        <f t="shared" si="8"/>
        <v/>
      </c>
      <c r="K94" s="34"/>
      <c r="L94" s="35"/>
      <c r="M94" s="34"/>
      <c r="N94" s="34"/>
      <c r="O94" s="2" t="str">
        <f t="shared" si="9"/>
        <v xml:space="preserve"> </v>
      </c>
      <c r="P94" s="45"/>
    </row>
    <row r="95" spans="1:16" s="36" customFormat="1" x14ac:dyDescent="0.2">
      <c r="A95" s="28">
        <v>1</v>
      </c>
      <c r="B95" s="29"/>
      <c r="C95" s="30" t="str">
        <f t="shared" si="5"/>
        <v/>
      </c>
      <c r="D95" s="31"/>
      <c r="E95" s="31"/>
      <c r="F95" s="32"/>
      <c r="G95" s="33" t="str">
        <f t="shared" si="6"/>
        <v/>
      </c>
      <c r="H95" s="32" t="str">
        <f t="shared" si="7"/>
        <v/>
      </c>
      <c r="I95" s="44"/>
      <c r="J95" s="31" t="str">
        <f t="shared" si="8"/>
        <v/>
      </c>
      <c r="K95" s="34"/>
      <c r="L95" s="35"/>
      <c r="M95" s="34"/>
      <c r="N95" s="34"/>
      <c r="O95" s="2" t="str">
        <f t="shared" si="9"/>
        <v xml:space="preserve"> </v>
      </c>
      <c r="P95" s="45"/>
    </row>
    <row r="96" spans="1:16" s="36" customFormat="1" x14ac:dyDescent="0.2">
      <c r="A96" s="28">
        <v>1</v>
      </c>
      <c r="B96" s="29"/>
      <c r="C96" s="30" t="str">
        <f t="shared" si="5"/>
        <v/>
      </c>
      <c r="D96" s="31"/>
      <c r="E96" s="31"/>
      <c r="F96" s="32"/>
      <c r="G96" s="33" t="str">
        <f t="shared" si="6"/>
        <v/>
      </c>
      <c r="H96" s="32" t="str">
        <f t="shared" si="7"/>
        <v/>
      </c>
      <c r="I96" s="44"/>
      <c r="J96" s="31" t="str">
        <f t="shared" si="8"/>
        <v/>
      </c>
      <c r="K96" s="34"/>
      <c r="L96" s="35"/>
      <c r="M96" s="34"/>
      <c r="N96" s="34"/>
      <c r="O96" s="2" t="str">
        <f t="shared" si="9"/>
        <v xml:space="preserve"> </v>
      </c>
      <c r="P96" s="45"/>
    </row>
    <row r="97" spans="1:16" s="36" customFormat="1" x14ac:dyDescent="0.2">
      <c r="A97" s="28">
        <v>1</v>
      </c>
      <c r="B97" s="29"/>
      <c r="C97" s="30" t="str">
        <f t="shared" si="5"/>
        <v/>
      </c>
      <c r="D97" s="31"/>
      <c r="E97" s="31"/>
      <c r="F97" s="32"/>
      <c r="G97" s="33" t="str">
        <f t="shared" si="6"/>
        <v/>
      </c>
      <c r="H97" s="32" t="str">
        <f t="shared" si="7"/>
        <v/>
      </c>
      <c r="I97" s="44"/>
      <c r="J97" s="31" t="str">
        <f t="shared" si="8"/>
        <v/>
      </c>
      <c r="K97" s="34"/>
      <c r="L97" s="35"/>
      <c r="M97" s="34"/>
      <c r="N97" s="34"/>
      <c r="O97" s="2" t="str">
        <f t="shared" si="9"/>
        <v xml:space="preserve"> </v>
      </c>
      <c r="P97" s="45"/>
    </row>
    <row r="98" spans="1:16" s="36" customFormat="1" x14ac:dyDescent="0.2">
      <c r="A98" s="28">
        <v>1</v>
      </c>
      <c r="B98" s="29"/>
      <c r="C98" s="30" t="str">
        <f t="shared" si="5"/>
        <v/>
      </c>
      <c r="D98" s="31"/>
      <c r="E98" s="31"/>
      <c r="F98" s="32"/>
      <c r="G98" s="33" t="str">
        <f t="shared" si="6"/>
        <v/>
      </c>
      <c r="H98" s="32" t="str">
        <f t="shared" si="7"/>
        <v/>
      </c>
      <c r="I98" s="44"/>
      <c r="J98" s="31" t="str">
        <f t="shared" si="8"/>
        <v/>
      </c>
      <c r="K98" s="34"/>
      <c r="L98" s="35"/>
      <c r="M98" s="34"/>
      <c r="N98" s="34"/>
      <c r="O98" s="2" t="str">
        <f t="shared" si="9"/>
        <v xml:space="preserve"> </v>
      </c>
      <c r="P98" s="45"/>
    </row>
    <row r="99" spans="1:16" s="36" customFormat="1" x14ac:dyDescent="0.2">
      <c r="A99" s="28">
        <v>1</v>
      </c>
      <c r="B99" s="29"/>
      <c r="C99" s="30" t="str">
        <f t="shared" si="5"/>
        <v/>
      </c>
      <c r="D99" s="31"/>
      <c r="E99" s="31"/>
      <c r="F99" s="32"/>
      <c r="G99" s="33" t="str">
        <f t="shared" si="6"/>
        <v/>
      </c>
      <c r="H99" s="32" t="str">
        <f t="shared" si="7"/>
        <v/>
      </c>
      <c r="I99" s="44"/>
      <c r="J99" s="31" t="str">
        <f t="shared" si="8"/>
        <v/>
      </c>
      <c r="K99" s="34"/>
      <c r="L99" s="35"/>
      <c r="M99" s="34"/>
      <c r="N99" s="34"/>
      <c r="O99" s="2" t="str">
        <f t="shared" si="9"/>
        <v xml:space="preserve"> </v>
      </c>
      <c r="P99" s="45"/>
    </row>
    <row r="100" spans="1:16" s="36" customFormat="1" x14ac:dyDescent="0.2">
      <c r="A100" s="28">
        <v>1</v>
      </c>
      <c r="B100" s="29"/>
      <c r="C100" s="30" t="str">
        <f t="shared" si="5"/>
        <v/>
      </c>
      <c r="D100" s="31"/>
      <c r="E100" s="31"/>
      <c r="F100" s="32"/>
      <c r="G100" s="33" t="str">
        <f t="shared" si="6"/>
        <v/>
      </c>
      <c r="H100" s="32" t="str">
        <f t="shared" si="7"/>
        <v/>
      </c>
      <c r="I100" s="44"/>
      <c r="J100" s="31" t="str">
        <f t="shared" si="8"/>
        <v/>
      </c>
      <c r="K100" s="34"/>
      <c r="L100" s="35"/>
      <c r="M100" s="34"/>
      <c r="N100" s="34"/>
      <c r="O100" s="2" t="str">
        <f t="shared" si="9"/>
        <v xml:space="preserve"> </v>
      </c>
      <c r="P100" s="45"/>
    </row>
    <row r="101" spans="1:16" s="36" customFormat="1" x14ac:dyDescent="0.2">
      <c r="A101" s="28">
        <v>1</v>
      </c>
      <c r="B101" s="29"/>
      <c r="C101" s="30" t="str">
        <f t="shared" si="5"/>
        <v/>
      </c>
      <c r="D101" s="31"/>
      <c r="E101" s="31"/>
      <c r="F101" s="32"/>
      <c r="G101" s="33" t="str">
        <f t="shared" si="6"/>
        <v/>
      </c>
      <c r="H101" s="32" t="str">
        <f t="shared" si="7"/>
        <v/>
      </c>
      <c r="I101" s="44"/>
      <c r="J101" s="31" t="str">
        <f t="shared" si="8"/>
        <v/>
      </c>
      <c r="K101" s="34"/>
      <c r="L101" s="35"/>
      <c r="M101" s="34"/>
      <c r="N101" s="34"/>
      <c r="O101" s="2" t="str">
        <f t="shared" si="9"/>
        <v xml:space="preserve"> </v>
      </c>
      <c r="P101" s="45"/>
    </row>
    <row r="102" spans="1:16" s="36" customFormat="1" x14ac:dyDescent="0.2">
      <c r="A102" s="28">
        <v>1</v>
      </c>
      <c r="B102" s="29"/>
      <c r="C102" s="30" t="str">
        <f t="shared" si="5"/>
        <v/>
      </c>
      <c r="D102" s="31"/>
      <c r="E102" s="31"/>
      <c r="F102" s="32"/>
      <c r="G102" s="33" t="str">
        <f t="shared" si="6"/>
        <v/>
      </c>
      <c r="H102" s="32" t="str">
        <f t="shared" si="7"/>
        <v/>
      </c>
      <c r="I102" s="44"/>
      <c r="J102" s="31" t="str">
        <f t="shared" si="8"/>
        <v/>
      </c>
      <c r="K102" s="34"/>
      <c r="L102" s="35"/>
      <c r="M102" s="34"/>
      <c r="N102" s="34"/>
      <c r="O102" s="2" t="str">
        <f t="shared" si="9"/>
        <v xml:space="preserve"> </v>
      </c>
      <c r="P102" s="45"/>
    </row>
    <row r="103" spans="1:16" s="36" customFormat="1" x14ac:dyDescent="0.2">
      <c r="A103" s="28">
        <v>1</v>
      </c>
      <c r="B103" s="29"/>
      <c r="C103" s="30" t="str">
        <f t="shared" si="5"/>
        <v/>
      </c>
      <c r="D103" s="31"/>
      <c r="E103" s="31"/>
      <c r="F103" s="32"/>
      <c r="G103" s="33" t="str">
        <f t="shared" si="6"/>
        <v/>
      </c>
      <c r="H103" s="32" t="str">
        <f t="shared" si="7"/>
        <v/>
      </c>
      <c r="I103" s="44"/>
      <c r="J103" s="31" t="str">
        <f t="shared" si="8"/>
        <v/>
      </c>
      <c r="K103" s="34"/>
      <c r="L103" s="35"/>
      <c r="M103" s="34"/>
      <c r="N103" s="34"/>
      <c r="O103" s="2" t="str">
        <f t="shared" si="9"/>
        <v xml:space="preserve"> </v>
      </c>
      <c r="P103" s="45"/>
    </row>
    <row r="104" spans="1:16" s="36" customFormat="1" x14ac:dyDescent="0.2">
      <c r="A104" s="28">
        <v>1</v>
      </c>
      <c r="B104" s="29"/>
      <c r="C104" s="30" t="str">
        <f t="shared" si="5"/>
        <v/>
      </c>
      <c r="D104" s="31"/>
      <c r="E104" s="31"/>
      <c r="F104" s="32"/>
      <c r="G104" s="33" t="str">
        <f t="shared" si="6"/>
        <v/>
      </c>
      <c r="H104" s="32" t="str">
        <f t="shared" si="7"/>
        <v/>
      </c>
      <c r="I104" s="44"/>
      <c r="J104" s="31" t="str">
        <f t="shared" si="8"/>
        <v/>
      </c>
      <c r="K104" s="34"/>
      <c r="L104" s="35"/>
      <c r="M104" s="34"/>
      <c r="N104" s="34"/>
      <c r="O104" s="2" t="str">
        <f t="shared" si="9"/>
        <v xml:space="preserve"> </v>
      </c>
      <c r="P104" s="45"/>
    </row>
    <row r="105" spans="1:16" s="36" customFormat="1" x14ac:dyDescent="0.2">
      <c r="A105" s="28">
        <v>1</v>
      </c>
      <c r="B105" s="29"/>
      <c r="C105" s="30" t="str">
        <f t="shared" si="5"/>
        <v/>
      </c>
      <c r="D105" s="31"/>
      <c r="E105" s="31"/>
      <c r="F105" s="32"/>
      <c r="G105" s="33" t="str">
        <f t="shared" si="6"/>
        <v/>
      </c>
      <c r="H105" s="32" t="str">
        <f t="shared" si="7"/>
        <v/>
      </c>
      <c r="I105" s="44"/>
      <c r="J105" s="31" t="str">
        <f t="shared" si="8"/>
        <v/>
      </c>
      <c r="K105" s="34"/>
      <c r="L105" s="35"/>
      <c r="M105" s="34"/>
      <c r="N105" s="34"/>
      <c r="O105" s="2" t="str">
        <f t="shared" si="9"/>
        <v xml:space="preserve"> </v>
      </c>
      <c r="P105" s="45"/>
    </row>
    <row r="106" spans="1:16" s="36" customFormat="1" x14ac:dyDescent="0.2">
      <c r="A106" s="28">
        <v>1</v>
      </c>
      <c r="B106" s="29"/>
      <c r="C106" s="30" t="str">
        <f t="shared" si="5"/>
        <v/>
      </c>
      <c r="D106" s="31"/>
      <c r="E106" s="31"/>
      <c r="F106" s="32"/>
      <c r="G106" s="33" t="str">
        <f t="shared" si="6"/>
        <v/>
      </c>
      <c r="H106" s="32" t="str">
        <f t="shared" si="7"/>
        <v/>
      </c>
      <c r="I106" s="44"/>
      <c r="J106" s="31" t="str">
        <f t="shared" si="8"/>
        <v/>
      </c>
      <c r="K106" s="34"/>
      <c r="L106" s="35"/>
      <c r="M106" s="34"/>
      <c r="N106" s="34"/>
      <c r="O106" s="2" t="str">
        <f t="shared" si="9"/>
        <v xml:space="preserve"> </v>
      </c>
      <c r="P106" s="45"/>
    </row>
    <row r="107" spans="1:16" s="36" customFormat="1" x14ac:dyDescent="0.2">
      <c r="A107" s="28">
        <v>1</v>
      </c>
      <c r="B107" s="29"/>
      <c r="C107" s="30" t="str">
        <f t="shared" si="5"/>
        <v/>
      </c>
      <c r="D107" s="31"/>
      <c r="E107" s="31"/>
      <c r="F107" s="32"/>
      <c r="G107" s="33" t="str">
        <f t="shared" si="6"/>
        <v/>
      </c>
      <c r="H107" s="32" t="str">
        <f t="shared" si="7"/>
        <v/>
      </c>
      <c r="I107" s="44"/>
      <c r="J107" s="31" t="str">
        <f t="shared" si="8"/>
        <v/>
      </c>
      <c r="K107" s="34"/>
      <c r="L107" s="35"/>
      <c r="M107" s="34"/>
      <c r="N107" s="34"/>
      <c r="O107" s="2" t="str">
        <f t="shared" si="9"/>
        <v xml:space="preserve"> </v>
      </c>
      <c r="P107" s="45"/>
    </row>
    <row r="108" spans="1:16" s="36" customFormat="1" x14ac:dyDescent="0.2">
      <c r="A108" s="28">
        <v>1</v>
      </c>
      <c r="B108" s="29"/>
      <c r="C108" s="30" t="str">
        <f t="shared" si="5"/>
        <v/>
      </c>
      <c r="D108" s="31"/>
      <c r="E108" s="31"/>
      <c r="F108" s="32"/>
      <c r="G108" s="33" t="str">
        <f t="shared" si="6"/>
        <v/>
      </c>
      <c r="H108" s="32" t="str">
        <f t="shared" si="7"/>
        <v/>
      </c>
      <c r="I108" s="44"/>
      <c r="J108" s="31" t="str">
        <f t="shared" si="8"/>
        <v/>
      </c>
      <c r="K108" s="34"/>
      <c r="L108" s="35"/>
      <c r="M108" s="34"/>
      <c r="N108" s="34"/>
      <c r="O108" s="2" t="str">
        <f t="shared" si="9"/>
        <v xml:space="preserve"> </v>
      </c>
      <c r="P108" s="45"/>
    </row>
    <row r="109" spans="1:16" s="36" customFormat="1" x14ac:dyDescent="0.2">
      <c r="A109" s="28">
        <v>1</v>
      </c>
      <c r="B109" s="29"/>
      <c r="C109" s="30" t="str">
        <f t="shared" si="5"/>
        <v/>
      </c>
      <c r="D109" s="31"/>
      <c r="E109" s="31"/>
      <c r="F109" s="32"/>
      <c r="G109" s="33" t="str">
        <f t="shared" si="6"/>
        <v/>
      </c>
      <c r="H109" s="32" t="str">
        <f t="shared" si="7"/>
        <v/>
      </c>
      <c r="I109" s="44"/>
      <c r="J109" s="31" t="str">
        <f t="shared" si="8"/>
        <v/>
      </c>
      <c r="K109" s="34"/>
      <c r="L109" s="35"/>
      <c r="M109" s="34"/>
      <c r="N109" s="34"/>
      <c r="O109" s="2" t="str">
        <f t="shared" si="9"/>
        <v xml:space="preserve"> </v>
      </c>
      <c r="P109" s="45"/>
    </row>
    <row r="110" spans="1:16" s="36" customFormat="1" x14ac:dyDescent="0.2">
      <c r="A110" s="28">
        <v>1</v>
      </c>
      <c r="B110" s="29"/>
      <c r="C110" s="30" t="str">
        <f t="shared" si="5"/>
        <v/>
      </c>
      <c r="D110" s="31"/>
      <c r="E110" s="31"/>
      <c r="F110" s="32"/>
      <c r="G110" s="33" t="str">
        <f t="shared" si="6"/>
        <v/>
      </c>
      <c r="H110" s="32" t="str">
        <f t="shared" si="7"/>
        <v/>
      </c>
      <c r="I110" s="44"/>
      <c r="J110" s="31" t="str">
        <f t="shared" si="8"/>
        <v/>
      </c>
      <c r="K110" s="34"/>
      <c r="L110" s="35"/>
      <c r="M110" s="34"/>
      <c r="N110" s="34"/>
      <c r="O110" s="2" t="str">
        <f t="shared" si="9"/>
        <v xml:space="preserve"> </v>
      </c>
      <c r="P110" s="45"/>
    </row>
    <row r="111" spans="1:16" s="36" customFormat="1" x14ac:dyDescent="0.2">
      <c r="A111" s="28">
        <v>1</v>
      </c>
      <c r="B111" s="29"/>
      <c r="C111" s="30" t="str">
        <f t="shared" si="5"/>
        <v/>
      </c>
      <c r="D111" s="31"/>
      <c r="E111" s="31"/>
      <c r="F111" s="32"/>
      <c r="G111" s="33" t="str">
        <f t="shared" si="6"/>
        <v/>
      </c>
      <c r="H111" s="32" t="str">
        <f t="shared" si="7"/>
        <v/>
      </c>
      <c r="I111" s="44"/>
      <c r="J111" s="31" t="str">
        <f t="shared" si="8"/>
        <v/>
      </c>
      <c r="K111" s="34"/>
      <c r="L111" s="35"/>
      <c r="M111" s="34"/>
      <c r="N111" s="34"/>
      <c r="O111" s="2" t="str">
        <f t="shared" si="9"/>
        <v xml:space="preserve"> </v>
      </c>
      <c r="P111" s="45"/>
    </row>
    <row r="112" spans="1:16" s="36" customFormat="1" x14ac:dyDescent="0.2">
      <c r="A112" s="28">
        <v>1</v>
      </c>
      <c r="B112" s="29"/>
      <c r="C112" s="30" t="str">
        <f t="shared" si="5"/>
        <v/>
      </c>
      <c r="D112" s="31"/>
      <c r="E112" s="31"/>
      <c r="F112" s="32"/>
      <c r="G112" s="33" t="str">
        <f t="shared" si="6"/>
        <v/>
      </c>
      <c r="H112" s="32" t="str">
        <f t="shared" si="7"/>
        <v/>
      </c>
      <c r="I112" s="44"/>
      <c r="J112" s="31" t="str">
        <f t="shared" si="8"/>
        <v/>
      </c>
      <c r="K112" s="34"/>
      <c r="L112" s="35"/>
      <c r="M112" s="34"/>
      <c r="N112" s="34"/>
      <c r="O112" s="2" t="str">
        <f t="shared" si="9"/>
        <v xml:space="preserve"> </v>
      </c>
      <c r="P112" s="45"/>
    </row>
    <row r="113" spans="1:16" s="36" customFormat="1" x14ac:dyDescent="0.2">
      <c r="A113" s="28">
        <v>1</v>
      </c>
      <c r="B113" s="29"/>
      <c r="C113" s="30" t="str">
        <f t="shared" si="5"/>
        <v/>
      </c>
      <c r="D113" s="31"/>
      <c r="E113" s="31"/>
      <c r="F113" s="32"/>
      <c r="G113" s="33" t="str">
        <f t="shared" si="6"/>
        <v/>
      </c>
      <c r="H113" s="32" t="str">
        <f t="shared" si="7"/>
        <v/>
      </c>
      <c r="I113" s="44"/>
      <c r="J113" s="31" t="str">
        <f t="shared" si="8"/>
        <v/>
      </c>
      <c r="K113" s="34"/>
      <c r="L113" s="35"/>
      <c r="M113" s="34"/>
      <c r="N113" s="34"/>
      <c r="O113" s="2" t="str">
        <f t="shared" si="9"/>
        <v xml:space="preserve"> </v>
      </c>
      <c r="P113" s="45"/>
    </row>
    <row r="114" spans="1:16" s="36" customFormat="1" x14ac:dyDescent="0.2">
      <c r="A114" s="28">
        <v>1</v>
      </c>
      <c r="B114" s="29"/>
      <c r="C114" s="30" t="str">
        <f t="shared" si="5"/>
        <v/>
      </c>
      <c r="D114" s="31"/>
      <c r="E114" s="31"/>
      <c r="F114" s="32"/>
      <c r="G114" s="33" t="str">
        <f t="shared" si="6"/>
        <v/>
      </c>
      <c r="H114" s="32" t="str">
        <f t="shared" si="7"/>
        <v/>
      </c>
      <c r="I114" s="44"/>
      <c r="J114" s="31" t="str">
        <f t="shared" si="8"/>
        <v/>
      </c>
      <c r="K114" s="34"/>
      <c r="L114" s="35"/>
      <c r="M114" s="34"/>
      <c r="N114" s="34"/>
      <c r="O114" s="2" t="str">
        <f t="shared" si="9"/>
        <v xml:space="preserve"> </v>
      </c>
      <c r="P114" s="45"/>
    </row>
    <row r="115" spans="1:16" s="36" customFormat="1" x14ac:dyDescent="0.2">
      <c r="A115" s="28">
        <v>1</v>
      </c>
      <c r="B115" s="29"/>
      <c r="C115" s="30" t="str">
        <f t="shared" si="5"/>
        <v/>
      </c>
      <c r="D115" s="31"/>
      <c r="E115" s="31"/>
      <c r="F115" s="32"/>
      <c r="G115" s="33" t="str">
        <f t="shared" si="6"/>
        <v/>
      </c>
      <c r="H115" s="32" t="str">
        <f t="shared" si="7"/>
        <v/>
      </c>
      <c r="I115" s="44"/>
      <c r="J115" s="31" t="str">
        <f t="shared" si="8"/>
        <v/>
      </c>
      <c r="K115" s="34"/>
      <c r="L115" s="35"/>
      <c r="M115" s="34"/>
      <c r="N115" s="34"/>
      <c r="O115" s="2" t="str">
        <f t="shared" si="9"/>
        <v xml:space="preserve"> </v>
      </c>
      <c r="P115" s="45"/>
    </row>
    <row r="116" spans="1:16" s="36" customFormat="1" x14ac:dyDescent="0.2">
      <c r="A116" s="28">
        <v>1</v>
      </c>
      <c r="B116" s="29"/>
      <c r="C116" s="30" t="str">
        <f t="shared" si="5"/>
        <v/>
      </c>
      <c r="D116" s="31"/>
      <c r="E116" s="31"/>
      <c r="F116" s="32"/>
      <c r="G116" s="33" t="str">
        <f t="shared" si="6"/>
        <v/>
      </c>
      <c r="H116" s="32" t="str">
        <f t="shared" si="7"/>
        <v/>
      </c>
      <c r="I116" s="44"/>
      <c r="J116" s="31" t="str">
        <f t="shared" si="8"/>
        <v/>
      </c>
      <c r="K116" s="34"/>
      <c r="L116" s="35"/>
      <c r="M116" s="34"/>
      <c r="N116" s="34"/>
      <c r="O116" s="2" t="str">
        <f t="shared" si="9"/>
        <v xml:space="preserve"> </v>
      </c>
      <c r="P116" s="45"/>
    </row>
    <row r="117" spans="1:16" s="36" customFormat="1" x14ac:dyDescent="0.2">
      <c r="A117" s="28">
        <v>1</v>
      </c>
      <c r="B117" s="29"/>
      <c r="C117" s="30" t="str">
        <f t="shared" si="5"/>
        <v/>
      </c>
      <c r="D117" s="31"/>
      <c r="E117" s="31"/>
      <c r="F117" s="32"/>
      <c r="G117" s="33" t="str">
        <f t="shared" si="6"/>
        <v/>
      </c>
      <c r="H117" s="32" t="str">
        <f t="shared" si="7"/>
        <v/>
      </c>
      <c r="I117" s="44"/>
      <c r="J117" s="31" t="str">
        <f t="shared" si="8"/>
        <v/>
      </c>
      <c r="K117" s="34"/>
      <c r="L117" s="35"/>
      <c r="M117" s="34"/>
      <c r="N117" s="34"/>
      <c r="O117" s="2" t="str">
        <f t="shared" si="9"/>
        <v xml:space="preserve"> </v>
      </c>
      <c r="P117" s="45"/>
    </row>
    <row r="118" spans="1:16" s="36" customFormat="1" x14ac:dyDescent="0.2">
      <c r="A118" s="28">
        <v>1</v>
      </c>
      <c r="B118" s="29"/>
      <c r="C118" s="30" t="str">
        <f t="shared" si="5"/>
        <v/>
      </c>
      <c r="D118" s="31"/>
      <c r="E118" s="31"/>
      <c r="F118" s="32"/>
      <c r="G118" s="33" t="str">
        <f t="shared" si="6"/>
        <v/>
      </c>
      <c r="H118" s="32" t="str">
        <f t="shared" si="7"/>
        <v/>
      </c>
      <c r="I118" s="44"/>
      <c r="J118" s="31" t="str">
        <f t="shared" si="8"/>
        <v/>
      </c>
      <c r="K118" s="34"/>
      <c r="L118" s="35"/>
      <c r="M118" s="34"/>
      <c r="N118" s="34"/>
      <c r="O118" s="2" t="str">
        <f t="shared" si="9"/>
        <v xml:space="preserve"> </v>
      </c>
      <c r="P118" s="45"/>
    </row>
    <row r="119" spans="1:16" s="36" customFormat="1" x14ac:dyDescent="0.2">
      <c r="A119" s="28">
        <v>1</v>
      </c>
      <c r="B119" s="29"/>
      <c r="C119" s="30" t="str">
        <f t="shared" si="5"/>
        <v/>
      </c>
      <c r="D119" s="31"/>
      <c r="E119" s="31"/>
      <c r="F119" s="32"/>
      <c r="G119" s="33" t="str">
        <f t="shared" si="6"/>
        <v/>
      </c>
      <c r="H119" s="32" t="str">
        <f t="shared" si="7"/>
        <v/>
      </c>
      <c r="I119" s="44"/>
      <c r="J119" s="31" t="str">
        <f t="shared" si="8"/>
        <v/>
      </c>
      <c r="K119" s="34"/>
      <c r="L119" s="35"/>
      <c r="M119" s="34"/>
      <c r="N119" s="34"/>
      <c r="O119" s="2" t="str">
        <f t="shared" si="9"/>
        <v xml:space="preserve"> </v>
      </c>
      <c r="P119" s="45"/>
    </row>
    <row r="120" spans="1:16" s="36" customFormat="1" x14ac:dyDescent="0.2">
      <c r="A120" s="28">
        <v>1</v>
      </c>
      <c r="B120" s="29"/>
      <c r="C120" s="30" t="str">
        <f t="shared" si="5"/>
        <v/>
      </c>
      <c r="D120" s="31"/>
      <c r="E120" s="31"/>
      <c r="F120" s="32"/>
      <c r="G120" s="33" t="str">
        <f t="shared" si="6"/>
        <v/>
      </c>
      <c r="H120" s="32" t="str">
        <f t="shared" si="7"/>
        <v/>
      </c>
      <c r="I120" s="44"/>
      <c r="J120" s="31" t="str">
        <f t="shared" si="8"/>
        <v/>
      </c>
      <c r="K120" s="34"/>
      <c r="L120" s="35"/>
      <c r="M120" s="34"/>
      <c r="N120" s="34"/>
      <c r="O120" s="2" t="str">
        <f t="shared" si="9"/>
        <v xml:space="preserve"> </v>
      </c>
      <c r="P120" s="45"/>
    </row>
    <row r="121" spans="1:16" s="36" customFormat="1" x14ac:dyDescent="0.2">
      <c r="A121" s="28">
        <v>1</v>
      </c>
      <c r="B121" s="29"/>
      <c r="C121" s="30" t="str">
        <f t="shared" si="5"/>
        <v/>
      </c>
      <c r="D121" s="31"/>
      <c r="E121" s="31"/>
      <c r="F121" s="32"/>
      <c r="G121" s="33" t="str">
        <f t="shared" si="6"/>
        <v/>
      </c>
      <c r="H121" s="32" t="str">
        <f t="shared" si="7"/>
        <v/>
      </c>
      <c r="I121" s="44"/>
      <c r="J121" s="31" t="str">
        <f t="shared" si="8"/>
        <v/>
      </c>
      <c r="K121" s="34"/>
      <c r="L121" s="35"/>
      <c r="M121" s="34"/>
      <c r="N121" s="34"/>
      <c r="O121" s="2" t="str">
        <f t="shared" si="9"/>
        <v xml:space="preserve"> </v>
      </c>
      <c r="P121" s="45"/>
    </row>
    <row r="122" spans="1:16" s="36" customFormat="1" x14ac:dyDescent="0.2">
      <c r="A122" s="28">
        <v>1</v>
      </c>
      <c r="B122" s="29"/>
      <c r="C122" s="30" t="str">
        <f t="shared" si="5"/>
        <v/>
      </c>
      <c r="D122" s="31"/>
      <c r="E122" s="31"/>
      <c r="F122" s="32"/>
      <c r="G122" s="33" t="str">
        <f t="shared" si="6"/>
        <v/>
      </c>
      <c r="H122" s="32" t="str">
        <f t="shared" si="7"/>
        <v/>
      </c>
      <c r="I122" s="44"/>
      <c r="J122" s="31" t="str">
        <f t="shared" si="8"/>
        <v/>
      </c>
      <c r="K122" s="34"/>
      <c r="L122" s="35"/>
      <c r="M122" s="34"/>
      <c r="N122" s="34"/>
      <c r="O122" s="2" t="str">
        <f t="shared" si="9"/>
        <v xml:space="preserve"> </v>
      </c>
      <c r="P122" s="45"/>
    </row>
    <row r="123" spans="1:16" s="36" customFormat="1" x14ac:dyDescent="0.2">
      <c r="A123" s="28">
        <v>1</v>
      </c>
      <c r="B123" s="29"/>
      <c r="C123" s="30" t="str">
        <f t="shared" si="5"/>
        <v/>
      </c>
      <c r="D123" s="31"/>
      <c r="E123" s="31"/>
      <c r="F123" s="32"/>
      <c r="G123" s="33" t="str">
        <f t="shared" si="6"/>
        <v/>
      </c>
      <c r="H123" s="32" t="str">
        <f t="shared" si="7"/>
        <v/>
      </c>
      <c r="I123" s="44"/>
      <c r="J123" s="31" t="str">
        <f t="shared" si="8"/>
        <v/>
      </c>
      <c r="K123" s="34"/>
      <c r="L123" s="35"/>
      <c r="M123" s="34"/>
      <c r="N123" s="34"/>
      <c r="O123" s="2" t="str">
        <f t="shared" si="9"/>
        <v xml:space="preserve"> </v>
      </c>
      <c r="P123" s="45"/>
    </row>
    <row r="124" spans="1:16" s="36" customFormat="1" x14ac:dyDescent="0.2">
      <c r="A124" s="28">
        <v>1</v>
      </c>
      <c r="B124" s="29"/>
      <c r="C124" s="30" t="str">
        <f t="shared" si="5"/>
        <v/>
      </c>
      <c r="D124" s="31"/>
      <c r="E124" s="31"/>
      <c r="F124" s="32"/>
      <c r="G124" s="33" t="str">
        <f t="shared" si="6"/>
        <v/>
      </c>
      <c r="H124" s="32" t="str">
        <f t="shared" si="7"/>
        <v/>
      </c>
      <c r="I124" s="44"/>
      <c r="J124" s="31" t="str">
        <f t="shared" si="8"/>
        <v/>
      </c>
      <c r="K124" s="34"/>
      <c r="L124" s="35"/>
      <c r="M124" s="34"/>
      <c r="N124" s="34"/>
      <c r="O124" s="2" t="str">
        <f t="shared" si="9"/>
        <v xml:space="preserve"> </v>
      </c>
      <c r="P124" s="45"/>
    </row>
    <row r="125" spans="1:16" s="36" customFormat="1" x14ac:dyDescent="0.2">
      <c r="A125" s="28">
        <v>1</v>
      </c>
      <c r="B125" s="29"/>
      <c r="C125" s="30" t="str">
        <f t="shared" si="5"/>
        <v/>
      </c>
      <c r="D125" s="31"/>
      <c r="E125" s="31"/>
      <c r="F125" s="32"/>
      <c r="G125" s="33" t="str">
        <f t="shared" si="6"/>
        <v/>
      </c>
      <c r="H125" s="32" t="str">
        <f t="shared" si="7"/>
        <v/>
      </c>
      <c r="I125" s="44"/>
      <c r="J125" s="31" t="str">
        <f t="shared" si="8"/>
        <v/>
      </c>
      <c r="K125" s="34"/>
      <c r="L125" s="35"/>
      <c r="M125" s="34"/>
      <c r="N125" s="34"/>
      <c r="O125" s="2" t="str">
        <f t="shared" si="9"/>
        <v xml:space="preserve"> </v>
      </c>
      <c r="P125" s="45"/>
    </row>
    <row r="126" spans="1:16" s="36" customFormat="1" x14ac:dyDescent="0.2">
      <c r="A126" s="28">
        <v>1</v>
      </c>
      <c r="B126" s="29"/>
      <c r="C126" s="30" t="str">
        <f t="shared" si="5"/>
        <v/>
      </c>
      <c r="D126" s="31"/>
      <c r="E126" s="31"/>
      <c r="F126" s="32"/>
      <c r="G126" s="33" t="str">
        <f t="shared" si="6"/>
        <v/>
      </c>
      <c r="H126" s="32" t="str">
        <f t="shared" si="7"/>
        <v/>
      </c>
      <c r="I126" s="44"/>
      <c r="J126" s="31" t="str">
        <f t="shared" si="8"/>
        <v/>
      </c>
      <c r="K126" s="34"/>
      <c r="L126" s="35"/>
      <c r="M126" s="34"/>
      <c r="N126" s="34"/>
      <c r="O126" s="2" t="str">
        <f t="shared" si="9"/>
        <v xml:space="preserve"> </v>
      </c>
      <c r="P126" s="45"/>
    </row>
    <row r="127" spans="1:16" s="36" customFormat="1" x14ac:dyDescent="0.2">
      <c r="A127" s="28">
        <v>1</v>
      </c>
      <c r="B127" s="29"/>
      <c r="C127" s="30" t="str">
        <f t="shared" si="5"/>
        <v/>
      </c>
      <c r="D127" s="31"/>
      <c r="E127" s="31"/>
      <c r="F127" s="32"/>
      <c r="G127" s="33" t="str">
        <f t="shared" si="6"/>
        <v/>
      </c>
      <c r="H127" s="32" t="str">
        <f t="shared" si="7"/>
        <v/>
      </c>
      <c r="I127" s="44"/>
      <c r="J127" s="31" t="str">
        <f t="shared" si="8"/>
        <v/>
      </c>
      <c r="K127" s="34"/>
      <c r="L127" s="35"/>
      <c r="M127" s="34"/>
      <c r="N127" s="34"/>
      <c r="O127" s="2" t="str">
        <f t="shared" si="9"/>
        <v xml:space="preserve"> </v>
      </c>
      <c r="P127" s="45"/>
    </row>
    <row r="128" spans="1:16" s="36" customFormat="1" x14ac:dyDescent="0.2">
      <c r="A128" s="28">
        <v>1</v>
      </c>
      <c r="B128" s="29"/>
      <c r="C128" s="30" t="str">
        <f t="shared" si="5"/>
        <v/>
      </c>
      <c r="D128" s="31"/>
      <c r="E128" s="31"/>
      <c r="F128" s="32"/>
      <c r="G128" s="33" t="str">
        <f t="shared" si="6"/>
        <v/>
      </c>
      <c r="H128" s="32" t="str">
        <f t="shared" si="7"/>
        <v/>
      </c>
      <c r="I128" s="44"/>
      <c r="J128" s="31" t="str">
        <f t="shared" si="8"/>
        <v/>
      </c>
      <c r="K128" s="34"/>
      <c r="L128" s="35"/>
      <c r="M128" s="34"/>
      <c r="N128" s="34"/>
      <c r="O128" s="2" t="str">
        <f t="shared" si="9"/>
        <v xml:space="preserve"> </v>
      </c>
      <c r="P128" s="45"/>
    </row>
    <row r="129" spans="1:16" s="36" customFormat="1" x14ac:dyDescent="0.2">
      <c r="A129" s="28">
        <v>1</v>
      </c>
      <c r="B129" s="29"/>
      <c r="C129" s="30" t="str">
        <f t="shared" si="5"/>
        <v/>
      </c>
      <c r="D129" s="31"/>
      <c r="E129" s="31"/>
      <c r="F129" s="32"/>
      <c r="G129" s="33" t="str">
        <f t="shared" si="6"/>
        <v/>
      </c>
      <c r="H129" s="32" t="str">
        <f t="shared" si="7"/>
        <v/>
      </c>
      <c r="I129" s="44"/>
      <c r="J129" s="31" t="str">
        <f t="shared" si="8"/>
        <v/>
      </c>
      <c r="K129" s="34"/>
      <c r="L129" s="35"/>
      <c r="M129" s="34"/>
      <c r="N129" s="34"/>
      <c r="O129" s="2" t="str">
        <f t="shared" si="9"/>
        <v xml:space="preserve"> </v>
      </c>
      <c r="P129" s="45"/>
    </row>
    <row r="130" spans="1:16" s="36" customFormat="1" x14ac:dyDescent="0.2">
      <c r="A130" s="28">
        <v>1</v>
      </c>
      <c r="B130" s="29"/>
      <c r="C130" s="30" t="str">
        <f t="shared" si="5"/>
        <v/>
      </c>
      <c r="D130" s="31"/>
      <c r="E130" s="31"/>
      <c r="F130" s="32"/>
      <c r="G130" s="33" t="str">
        <f t="shared" si="6"/>
        <v/>
      </c>
      <c r="H130" s="32" t="str">
        <f t="shared" si="7"/>
        <v/>
      </c>
      <c r="I130" s="44"/>
      <c r="J130" s="31" t="str">
        <f t="shared" si="8"/>
        <v/>
      </c>
      <c r="K130" s="34"/>
      <c r="L130" s="35"/>
      <c r="M130" s="34"/>
      <c r="N130" s="34"/>
      <c r="O130" s="2" t="str">
        <f t="shared" si="9"/>
        <v xml:space="preserve"> </v>
      </c>
      <c r="P130" s="45"/>
    </row>
    <row r="131" spans="1:16" s="36" customFormat="1" x14ac:dyDescent="0.2">
      <c r="A131" s="28">
        <v>1</v>
      </c>
      <c r="B131" s="29"/>
      <c r="C131" s="30" t="str">
        <f t="shared" si="5"/>
        <v/>
      </c>
      <c r="D131" s="31"/>
      <c r="E131" s="31"/>
      <c r="F131" s="32"/>
      <c r="G131" s="33" t="str">
        <f t="shared" si="6"/>
        <v/>
      </c>
      <c r="H131" s="32" t="str">
        <f t="shared" si="7"/>
        <v/>
      </c>
      <c r="I131" s="44"/>
      <c r="J131" s="31" t="str">
        <f t="shared" si="8"/>
        <v/>
      </c>
      <c r="K131" s="34"/>
      <c r="L131" s="35"/>
      <c r="M131" s="34"/>
      <c r="N131" s="34"/>
      <c r="O131" s="2" t="str">
        <f t="shared" si="9"/>
        <v xml:space="preserve"> </v>
      </c>
      <c r="P131" s="45"/>
    </row>
    <row r="132" spans="1:16" s="36" customFormat="1" x14ac:dyDescent="0.2">
      <c r="A132" s="28">
        <v>1</v>
      </c>
      <c r="B132" s="29"/>
      <c r="C132" s="30" t="str">
        <f t="shared" si="5"/>
        <v/>
      </c>
      <c r="D132" s="31"/>
      <c r="E132" s="31"/>
      <c r="F132" s="32"/>
      <c r="G132" s="33" t="str">
        <f t="shared" si="6"/>
        <v/>
      </c>
      <c r="H132" s="32" t="str">
        <f t="shared" si="7"/>
        <v/>
      </c>
      <c r="I132" s="44"/>
      <c r="J132" s="31" t="str">
        <f t="shared" si="8"/>
        <v/>
      </c>
      <c r="K132" s="34"/>
      <c r="L132" s="35"/>
      <c r="M132" s="34"/>
      <c r="N132" s="34"/>
      <c r="O132" s="2" t="str">
        <f t="shared" si="9"/>
        <v xml:space="preserve"> </v>
      </c>
      <c r="P132" s="45"/>
    </row>
    <row r="133" spans="1:16" s="36" customFormat="1" x14ac:dyDescent="0.2">
      <c r="A133" s="28">
        <v>1</v>
      </c>
      <c r="B133" s="29"/>
      <c r="C133" s="30" t="str">
        <f t="shared" ref="C133:C198" si="10">IF(B133="","",TEXT(DAY(B133),"00")&amp;"/"&amp;TEXT(MONTH(B133),"00"))</f>
        <v/>
      </c>
      <c r="D133" s="31"/>
      <c r="E133" s="31"/>
      <c r="F133" s="32"/>
      <c r="G133" s="33" t="str">
        <f t="shared" si="6"/>
        <v/>
      </c>
      <c r="H133" s="32" t="str">
        <f t="shared" si="7"/>
        <v/>
      </c>
      <c r="I133" s="44"/>
      <c r="J133" s="31" t="str">
        <f t="shared" si="8"/>
        <v/>
      </c>
      <c r="K133" s="34"/>
      <c r="L133" s="35"/>
      <c r="M133" s="34"/>
      <c r="N133" s="34"/>
      <c r="O133" s="2" t="str">
        <f t="shared" si="9"/>
        <v xml:space="preserve"> </v>
      </c>
      <c r="P133" s="45"/>
    </row>
    <row r="134" spans="1:16" s="36" customFormat="1" x14ac:dyDescent="0.2">
      <c r="A134" s="28">
        <v>1</v>
      </c>
      <c r="B134" s="29"/>
      <c r="C134" s="30" t="str">
        <f t="shared" si="10"/>
        <v/>
      </c>
      <c r="D134" s="31"/>
      <c r="E134" s="31"/>
      <c r="F134" s="32"/>
      <c r="G134" s="33" t="str">
        <f t="shared" si="6"/>
        <v/>
      </c>
      <c r="H134" s="32" t="str">
        <f t="shared" si="7"/>
        <v/>
      </c>
      <c r="I134" s="44"/>
      <c r="J134" s="31" t="str">
        <f t="shared" si="8"/>
        <v/>
      </c>
      <c r="K134" s="34"/>
      <c r="L134" s="35"/>
      <c r="M134" s="34"/>
      <c r="N134" s="34"/>
      <c r="O134" s="2" t="str">
        <f t="shared" si="9"/>
        <v xml:space="preserve"> </v>
      </c>
      <c r="P134" s="45"/>
    </row>
    <row r="135" spans="1:16" s="36" customFormat="1" x14ac:dyDescent="0.2">
      <c r="A135" s="28">
        <v>1</v>
      </c>
      <c r="B135" s="29"/>
      <c r="C135" s="30" t="str">
        <f t="shared" si="10"/>
        <v/>
      </c>
      <c r="D135" s="31"/>
      <c r="E135" s="31"/>
      <c r="F135" s="32"/>
      <c r="G135" s="33" t="str">
        <f t="shared" ref="G135:G201" si="11">IF(F135&lt;&gt;"",F135+G134,"")</f>
        <v/>
      </c>
      <c r="H135" s="32" t="str">
        <f t="shared" ref="H135:H198" si="12">IF(F135&lt;&gt;"",ABS(F135),"")</f>
        <v/>
      </c>
      <c r="I135" s="44"/>
      <c r="J135" s="31" t="str">
        <f t="shared" ref="J135:J198" si="13">IF(F135=0,"",IF(F135&lt;0,"PAGAMENTO","RECEBIMENTO"))</f>
        <v/>
      </c>
      <c r="K135" s="34"/>
      <c r="L135" s="35"/>
      <c r="M135" s="34"/>
      <c r="N135" s="34"/>
      <c r="O135" s="2" t="str">
        <f t="shared" ref="O135:O192" si="14">CONCATENATE(K135," ",N135)</f>
        <v xml:space="preserve"> </v>
      </c>
      <c r="P135" s="45"/>
    </row>
    <row r="136" spans="1:16" s="36" customFormat="1" x14ac:dyDescent="0.2">
      <c r="A136" s="28">
        <v>1</v>
      </c>
      <c r="B136" s="29"/>
      <c r="C136" s="30" t="str">
        <f t="shared" si="10"/>
        <v/>
      </c>
      <c r="D136" s="31"/>
      <c r="E136" s="31"/>
      <c r="F136" s="32"/>
      <c r="G136" s="33" t="str">
        <f t="shared" si="11"/>
        <v/>
      </c>
      <c r="H136" s="32" t="str">
        <f t="shared" si="12"/>
        <v/>
      </c>
      <c r="I136" s="44"/>
      <c r="J136" s="31" t="str">
        <f t="shared" si="13"/>
        <v/>
      </c>
      <c r="K136" s="34"/>
      <c r="L136" s="35"/>
      <c r="M136" s="34"/>
      <c r="N136" s="34"/>
      <c r="O136" s="2" t="str">
        <f t="shared" si="14"/>
        <v xml:space="preserve"> </v>
      </c>
      <c r="P136" s="45"/>
    </row>
    <row r="137" spans="1:16" s="36" customFormat="1" x14ac:dyDescent="0.2">
      <c r="A137" s="28">
        <v>1</v>
      </c>
      <c r="B137" s="29"/>
      <c r="C137" s="30" t="str">
        <f t="shared" si="10"/>
        <v/>
      </c>
      <c r="D137" s="31"/>
      <c r="E137" s="31"/>
      <c r="F137" s="32"/>
      <c r="G137" s="33" t="str">
        <f t="shared" si="11"/>
        <v/>
      </c>
      <c r="H137" s="32" t="str">
        <f t="shared" si="12"/>
        <v/>
      </c>
      <c r="I137" s="44"/>
      <c r="J137" s="31" t="str">
        <f t="shared" si="13"/>
        <v/>
      </c>
      <c r="K137" s="34"/>
      <c r="L137" s="35"/>
      <c r="M137" s="34"/>
      <c r="N137" s="34"/>
      <c r="O137" s="2" t="str">
        <f t="shared" si="14"/>
        <v xml:space="preserve"> </v>
      </c>
      <c r="P137" s="45"/>
    </row>
    <row r="138" spans="1:16" s="36" customFormat="1" x14ac:dyDescent="0.2">
      <c r="A138" s="28">
        <v>1</v>
      </c>
      <c r="B138" s="29"/>
      <c r="C138" s="30" t="str">
        <f t="shared" si="10"/>
        <v/>
      </c>
      <c r="D138" s="31"/>
      <c r="E138" s="31"/>
      <c r="F138" s="32"/>
      <c r="G138" s="33" t="str">
        <f t="shared" si="11"/>
        <v/>
      </c>
      <c r="H138" s="32" t="str">
        <f t="shared" si="12"/>
        <v/>
      </c>
      <c r="I138" s="44"/>
      <c r="J138" s="31" t="str">
        <f t="shared" si="13"/>
        <v/>
      </c>
      <c r="K138" s="34"/>
      <c r="L138" s="35"/>
      <c r="M138" s="34"/>
      <c r="N138" s="34"/>
      <c r="O138" s="2" t="str">
        <f t="shared" si="14"/>
        <v xml:space="preserve"> </v>
      </c>
      <c r="P138" s="45"/>
    </row>
    <row r="139" spans="1:16" s="36" customFormat="1" x14ac:dyDescent="0.2">
      <c r="A139" s="28">
        <v>1</v>
      </c>
      <c r="B139" s="29"/>
      <c r="C139" s="30" t="str">
        <f t="shared" si="10"/>
        <v/>
      </c>
      <c r="D139" s="31"/>
      <c r="E139" s="31"/>
      <c r="F139" s="32"/>
      <c r="G139" s="33" t="str">
        <f t="shared" si="11"/>
        <v/>
      </c>
      <c r="H139" s="32" t="str">
        <f t="shared" si="12"/>
        <v/>
      </c>
      <c r="I139" s="44"/>
      <c r="J139" s="31" t="str">
        <f t="shared" si="13"/>
        <v/>
      </c>
      <c r="K139" s="34"/>
      <c r="L139" s="35"/>
      <c r="M139" s="34"/>
      <c r="N139" s="34"/>
      <c r="O139" s="2" t="str">
        <f t="shared" si="14"/>
        <v xml:space="preserve"> </v>
      </c>
      <c r="P139" s="45"/>
    </row>
    <row r="140" spans="1:16" s="36" customFormat="1" x14ac:dyDescent="0.2">
      <c r="A140" s="28">
        <v>1</v>
      </c>
      <c r="B140" s="29"/>
      <c r="C140" s="30" t="str">
        <f t="shared" si="10"/>
        <v/>
      </c>
      <c r="D140" s="31"/>
      <c r="E140" s="31"/>
      <c r="F140" s="32"/>
      <c r="G140" s="33" t="str">
        <f t="shared" si="11"/>
        <v/>
      </c>
      <c r="H140" s="32" t="str">
        <f t="shared" si="12"/>
        <v/>
      </c>
      <c r="I140" s="44"/>
      <c r="J140" s="31" t="str">
        <f t="shared" si="13"/>
        <v/>
      </c>
      <c r="K140" s="34"/>
      <c r="L140" s="35"/>
      <c r="M140" s="34"/>
      <c r="N140" s="34"/>
      <c r="O140" s="2" t="str">
        <f t="shared" si="14"/>
        <v xml:space="preserve"> </v>
      </c>
      <c r="P140" s="45"/>
    </row>
    <row r="141" spans="1:16" s="36" customFormat="1" x14ac:dyDescent="0.2">
      <c r="A141" s="28">
        <v>1</v>
      </c>
      <c r="B141" s="29"/>
      <c r="C141" s="30" t="str">
        <f t="shared" si="10"/>
        <v/>
      </c>
      <c r="D141" s="31"/>
      <c r="E141" s="31"/>
      <c r="F141" s="32"/>
      <c r="G141" s="33" t="str">
        <f t="shared" si="11"/>
        <v/>
      </c>
      <c r="H141" s="32" t="str">
        <f t="shared" si="12"/>
        <v/>
      </c>
      <c r="I141" s="44"/>
      <c r="J141" s="31" t="str">
        <f t="shared" si="13"/>
        <v/>
      </c>
      <c r="K141" s="34"/>
      <c r="L141" s="35"/>
      <c r="M141" s="34"/>
      <c r="N141" s="34"/>
      <c r="O141" s="2" t="str">
        <f t="shared" si="14"/>
        <v xml:space="preserve"> </v>
      </c>
      <c r="P141" s="45"/>
    </row>
    <row r="142" spans="1:16" s="36" customFormat="1" x14ac:dyDescent="0.2">
      <c r="A142" s="28">
        <v>1</v>
      </c>
      <c r="B142" s="29"/>
      <c r="C142" s="30" t="str">
        <f t="shared" si="10"/>
        <v/>
      </c>
      <c r="D142" s="31"/>
      <c r="E142" s="31"/>
      <c r="F142" s="32"/>
      <c r="G142" s="33" t="str">
        <f t="shared" si="11"/>
        <v/>
      </c>
      <c r="H142" s="32" t="str">
        <f t="shared" si="12"/>
        <v/>
      </c>
      <c r="I142" s="44"/>
      <c r="J142" s="31" t="str">
        <f t="shared" si="13"/>
        <v/>
      </c>
      <c r="K142" s="34"/>
      <c r="L142" s="35"/>
      <c r="M142" s="34"/>
      <c r="N142" s="34"/>
      <c r="O142" s="2" t="str">
        <f t="shared" si="14"/>
        <v xml:space="preserve"> </v>
      </c>
      <c r="P142" s="45"/>
    </row>
    <row r="143" spans="1:16" s="36" customFormat="1" x14ac:dyDescent="0.2">
      <c r="A143" s="28">
        <v>1</v>
      </c>
      <c r="B143" s="29"/>
      <c r="C143" s="30" t="str">
        <f t="shared" si="10"/>
        <v/>
      </c>
      <c r="D143" s="31"/>
      <c r="E143" s="31"/>
      <c r="F143" s="32"/>
      <c r="G143" s="33" t="str">
        <f t="shared" si="11"/>
        <v/>
      </c>
      <c r="H143" s="32" t="str">
        <f t="shared" si="12"/>
        <v/>
      </c>
      <c r="I143" s="44"/>
      <c r="J143" s="31" t="str">
        <f t="shared" si="13"/>
        <v/>
      </c>
      <c r="K143" s="34"/>
      <c r="L143" s="35"/>
      <c r="M143" s="34"/>
      <c r="N143" s="34"/>
      <c r="O143" s="2" t="str">
        <f t="shared" si="14"/>
        <v xml:space="preserve"> </v>
      </c>
      <c r="P143" s="45"/>
    </row>
    <row r="144" spans="1:16" s="36" customFormat="1" x14ac:dyDescent="0.2">
      <c r="A144" s="28">
        <v>1</v>
      </c>
      <c r="B144" s="29"/>
      <c r="C144" s="30" t="str">
        <f t="shared" si="10"/>
        <v/>
      </c>
      <c r="D144" s="31"/>
      <c r="E144" s="31"/>
      <c r="F144" s="32"/>
      <c r="G144" s="33" t="str">
        <f t="shared" si="11"/>
        <v/>
      </c>
      <c r="H144" s="32" t="str">
        <f t="shared" si="12"/>
        <v/>
      </c>
      <c r="I144" s="44"/>
      <c r="J144" s="31" t="str">
        <f t="shared" si="13"/>
        <v/>
      </c>
      <c r="K144" s="34"/>
      <c r="L144" s="35"/>
      <c r="M144" s="34"/>
      <c r="N144" s="34"/>
      <c r="O144" s="2" t="str">
        <f t="shared" si="14"/>
        <v xml:space="preserve"> </v>
      </c>
      <c r="P144" s="45"/>
    </row>
    <row r="145" spans="1:18" s="36" customFormat="1" x14ac:dyDescent="0.2">
      <c r="A145" s="28">
        <v>1</v>
      </c>
      <c r="B145" s="29"/>
      <c r="C145" s="30" t="str">
        <f t="shared" si="10"/>
        <v/>
      </c>
      <c r="D145" s="31"/>
      <c r="E145" s="31"/>
      <c r="F145" s="32"/>
      <c r="G145" s="33" t="str">
        <f t="shared" si="11"/>
        <v/>
      </c>
      <c r="H145" s="32" t="str">
        <f t="shared" si="12"/>
        <v/>
      </c>
      <c r="I145" s="44"/>
      <c r="J145" s="31" t="str">
        <f t="shared" si="13"/>
        <v/>
      </c>
      <c r="K145" s="34"/>
      <c r="L145" s="35"/>
      <c r="M145" s="34"/>
      <c r="N145" s="34"/>
      <c r="O145" s="2" t="str">
        <f t="shared" si="14"/>
        <v xml:space="preserve"> </v>
      </c>
      <c r="P145" s="45"/>
    </row>
    <row r="146" spans="1:18" s="36" customFormat="1" x14ac:dyDescent="0.2">
      <c r="A146" s="28">
        <v>1</v>
      </c>
      <c r="B146" s="29"/>
      <c r="C146" s="30" t="str">
        <f t="shared" si="10"/>
        <v/>
      </c>
      <c r="D146" s="31"/>
      <c r="E146" s="31"/>
      <c r="F146" s="32"/>
      <c r="G146" s="33" t="str">
        <f t="shared" si="11"/>
        <v/>
      </c>
      <c r="H146" s="32" t="str">
        <f t="shared" si="12"/>
        <v/>
      </c>
      <c r="I146" s="44"/>
      <c r="J146" s="31" t="str">
        <f t="shared" si="13"/>
        <v/>
      </c>
      <c r="K146" s="34"/>
      <c r="L146" s="35"/>
      <c r="M146" s="34"/>
      <c r="N146" s="34"/>
      <c r="O146" s="2" t="str">
        <f t="shared" si="14"/>
        <v xml:space="preserve"> </v>
      </c>
      <c r="P146" s="45"/>
    </row>
    <row r="147" spans="1:18" s="36" customFormat="1" x14ac:dyDescent="0.2">
      <c r="A147" s="28">
        <v>1</v>
      </c>
      <c r="B147" s="29"/>
      <c r="C147" s="30" t="str">
        <f t="shared" si="10"/>
        <v/>
      </c>
      <c r="D147" s="31"/>
      <c r="E147" s="31"/>
      <c r="F147" s="32"/>
      <c r="G147" s="33" t="str">
        <f t="shared" si="11"/>
        <v/>
      </c>
      <c r="H147" s="32" t="str">
        <f t="shared" si="12"/>
        <v/>
      </c>
      <c r="I147" s="44"/>
      <c r="J147" s="31" t="str">
        <f t="shared" si="13"/>
        <v/>
      </c>
      <c r="K147" s="34"/>
      <c r="L147" s="35"/>
      <c r="M147" s="34"/>
      <c r="N147" s="34"/>
      <c r="O147" s="2" t="str">
        <f t="shared" si="14"/>
        <v xml:space="preserve"> </v>
      </c>
      <c r="P147" s="45"/>
    </row>
    <row r="148" spans="1:18" s="36" customFormat="1" x14ac:dyDescent="0.2">
      <c r="A148" s="28">
        <v>1</v>
      </c>
      <c r="B148" s="29"/>
      <c r="C148" s="30" t="str">
        <f t="shared" si="10"/>
        <v/>
      </c>
      <c r="D148" s="31"/>
      <c r="E148" s="31"/>
      <c r="F148" s="32"/>
      <c r="G148" s="33" t="str">
        <f t="shared" si="11"/>
        <v/>
      </c>
      <c r="H148" s="32" t="str">
        <f t="shared" si="12"/>
        <v/>
      </c>
      <c r="I148" s="44"/>
      <c r="J148" s="31" t="str">
        <f t="shared" si="13"/>
        <v/>
      </c>
      <c r="K148" s="34"/>
      <c r="L148" s="35"/>
      <c r="M148" s="34"/>
      <c r="N148" s="34"/>
      <c r="O148" s="2" t="str">
        <f t="shared" si="14"/>
        <v xml:space="preserve"> </v>
      </c>
      <c r="P148" s="45"/>
    </row>
    <row r="149" spans="1:18" s="36" customFormat="1" x14ac:dyDescent="0.2">
      <c r="A149" s="28">
        <v>1</v>
      </c>
      <c r="B149" s="29"/>
      <c r="C149" s="30" t="str">
        <f t="shared" si="10"/>
        <v/>
      </c>
      <c r="D149" s="31"/>
      <c r="E149" s="31"/>
      <c r="F149" s="32"/>
      <c r="G149" s="33" t="str">
        <f t="shared" si="11"/>
        <v/>
      </c>
      <c r="H149" s="32" t="str">
        <f t="shared" si="12"/>
        <v/>
      </c>
      <c r="I149" s="44"/>
      <c r="J149" s="31" t="str">
        <f t="shared" si="13"/>
        <v/>
      </c>
      <c r="K149" s="34"/>
      <c r="L149" s="35"/>
      <c r="M149" s="34"/>
      <c r="N149" s="34"/>
      <c r="O149" s="2" t="str">
        <f t="shared" si="14"/>
        <v xml:space="preserve"> </v>
      </c>
      <c r="P149" s="45"/>
    </row>
    <row r="150" spans="1:18" s="36" customFormat="1" x14ac:dyDescent="0.2">
      <c r="A150" s="28">
        <v>1</v>
      </c>
      <c r="B150" s="29"/>
      <c r="C150" s="30" t="str">
        <f t="shared" si="10"/>
        <v/>
      </c>
      <c r="D150" s="31"/>
      <c r="E150" s="31"/>
      <c r="F150" s="32"/>
      <c r="G150" s="33" t="str">
        <f t="shared" si="11"/>
        <v/>
      </c>
      <c r="H150" s="32" t="str">
        <f t="shared" si="12"/>
        <v/>
      </c>
      <c r="I150" s="44"/>
      <c r="J150" s="31" t="str">
        <f t="shared" si="13"/>
        <v/>
      </c>
      <c r="K150" s="34"/>
      <c r="L150" s="35"/>
      <c r="M150" s="34"/>
      <c r="N150" s="34"/>
      <c r="O150" s="2" t="str">
        <f t="shared" si="14"/>
        <v xml:space="preserve"> </v>
      </c>
      <c r="P150" s="45"/>
    </row>
    <row r="151" spans="1:18" s="36" customFormat="1" x14ac:dyDescent="0.2">
      <c r="A151" s="28">
        <v>1</v>
      </c>
      <c r="B151" s="29"/>
      <c r="C151" s="30" t="str">
        <f t="shared" si="10"/>
        <v/>
      </c>
      <c r="D151" s="31"/>
      <c r="E151" s="31"/>
      <c r="F151" s="32"/>
      <c r="G151" s="33" t="str">
        <f t="shared" si="11"/>
        <v/>
      </c>
      <c r="H151" s="32" t="str">
        <f t="shared" si="12"/>
        <v/>
      </c>
      <c r="I151" s="44"/>
      <c r="J151" s="31" t="str">
        <f t="shared" si="13"/>
        <v/>
      </c>
      <c r="K151" s="34"/>
      <c r="L151" s="35"/>
      <c r="M151" s="34"/>
      <c r="N151" s="34"/>
      <c r="O151" s="2" t="str">
        <f t="shared" si="14"/>
        <v xml:space="preserve"> </v>
      </c>
      <c r="P151" s="45"/>
    </row>
    <row r="152" spans="1:18" s="36" customFormat="1" x14ac:dyDescent="0.2">
      <c r="A152" s="28">
        <v>1</v>
      </c>
      <c r="B152" s="29"/>
      <c r="C152" s="30" t="str">
        <f t="shared" si="10"/>
        <v/>
      </c>
      <c r="D152" s="31"/>
      <c r="E152" s="31"/>
      <c r="F152" s="32"/>
      <c r="G152" s="33" t="str">
        <f t="shared" si="11"/>
        <v/>
      </c>
      <c r="H152" s="32" t="str">
        <f t="shared" si="12"/>
        <v/>
      </c>
      <c r="I152" s="44"/>
      <c r="J152" s="31" t="str">
        <f t="shared" si="13"/>
        <v/>
      </c>
      <c r="K152" s="34"/>
      <c r="L152" s="35"/>
      <c r="M152" s="34"/>
      <c r="N152" s="34"/>
      <c r="O152" s="2" t="str">
        <f t="shared" si="14"/>
        <v xml:space="preserve"> </v>
      </c>
      <c r="P152" s="45"/>
    </row>
    <row r="153" spans="1:18" s="36" customFormat="1" x14ac:dyDescent="0.2">
      <c r="A153" s="28">
        <v>1</v>
      </c>
      <c r="B153" s="29"/>
      <c r="C153" s="30" t="str">
        <f t="shared" si="10"/>
        <v/>
      </c>
      <c r="D153" s="31"/>
      <c r="E153" s="31"/>
      <c r="F153" s="32"/>
      <c r="G153" s="33" t="str">
        <f t="shared" si="11"/>
        <v/>
      </c>
      <c r="H153" s="32" t="str">
        <f t="shared" si="12"/>
        <v/>
      </c>
      <c r="I153" s="44"/>
      <c r="J153" s="31" t="str">
        <f t="shared" si="13"/>
        <v/>
      </c>
      <c r="K153" s="34"/>
      <c r="L153" s="35"/>
      <c r="M153" s="34"/>
      <c r="N153" s="34"/>
      <c r="O153" s="2" t="str">
        <f t="shared" si="14"/>
        <v xml:space="preserve"> </v>
      </c>
      <c r="P153" s="45"/>
    </row>
    <row r="154" spans="1:18" s="36" customFormat="1" x14ac:dyDescent="0.2">
      <c r="A154" s="28">
        <v>1</v>
      </c>
      <c r="B154" s="29"/>
      <c r="C154" s="30" t="str">
        <f t="shared" si="10"/>
        <v/>
      </c>
      <c r="D154" s="31"/>
      <c r="E154" s="31"/>
      <c r="F154" s="32"/>
      <c r="G154" s="33" t="str">
        <f t="shared" si="11"/>
        <v/>
      </c>
      <c r="H154" s="32" t="str">
        <f t="shared" si="12"/>
        <v/>
      </c>
      <c r="I154" s="44"/>
      <c r="J154" s="31" t="str">
        <f t="shared" si="13"/>
        <v/>
      </c>
      <c r="K154" s="34"/>
      <c r="L154" s="35"/>
      <c r="M154" s="34"/>
      <c r="N154" s="34"/>
      <c r="O154" s="2" t="str">
        <f t="shared" si="14"/>
        <v xml:space="preserve"> </v>
      </c>
      <c r="P154" s="45"/>
    </row>
    <row r="155" spans="1:18" s="36" customFormat="1" x14ac:dyDescent="0.2">
      <c r="A155" s="28">
        <v>1</v>
      </c>
      <c r="B155" s="29"/>
      <c r="C155" s="30" t="str">
        <f t="shared" si="10"/>
        <v/>
      </c>
      <c r="D155" s="31"/>
      <c r="E155" s="31"/>
      <c r="F155" s="32"/>
      <c r="G155" s="33" t="str">
        <f t="shared" si="11"/>
        <v/>
      </c>
      <c r="H155" s="32" t="str">
        <f t="shared" si="12"/>
        <v/>
      </c>
      <c r="I155" s="44"/>
      <c r="J155" s="31" t="str">
        <f t="shared" si="13"/>
        <v/>
      </c>
      <c r="K155" s="34"/>
      <c r="L155" s="35"/>
      <c r="M155" s="34"/>
      <c r="N155" s="34"/>
      <c r="O155" s="2" t="str">
        <f t="shared" si="14"/>
        <v xml:space="preserve"> </v>
      </c>
      <c r="P155" s="45"/>
    </row>
    <row r="156" spans="1:18" s="36" customFormat="1" x14ac:dyDescent="0.2">
      <c r="A156" s="28">
        <v>1</v>
      </c>
      <c r="B156" s="29"/>
      <c r="C156" s="30" t="str">
        <f t="shared" si="10"/>
        <v/>
      </c>
      <c r="D156" s="31"/>
      <c r="E156" s="31"/>
      <c r="F156" s="32"/>
      <c r="G156" s="33" t="str">
        <f t="shared" si="11"/>
        <v/>
      </c>
      <c r="H156" s="32" t="str">
        <f t="shared" si="12"/>
        <v/>
      </c>
      <c r="I156" s="44"/>
      <c r="J156" s="31" t="str">
        <f t="shared" si="13"/>
        <v/>
      </c>
      <c r="K156" s="34"/>
      <c r="L156" s="35"/>
      <c r="M156" s="34"/>
      <c r="N156" s="34"/>
      <c r="O156" s="2" t="str">
        <f t="shared" si="14"/>
        <v xml:space="preserve"> </v>
      </c>
      <c r="P156" s="45"/>
      <c r="Q156" s="2"/>
      <c r="R156" s="2"/>
    </row>
    <row r="157" spans="1:18" s="36" customFormat="1" x14ac:dyDescent="0.2">
      <c r="A157" s="28">
        <v>1</v>
      </c>
      <c r="B157" s="29"/>
      <c r="C157" s="30" t="str">
        <f t="shared" si="10"/>
        <v/>
      </c>
      <c r="D157" s="31"/>
      <c r="E157" s="31"/>
      <c r="F157" s="32"/>
      <c r="G157" s="33" t="str">
        <f t="shared" si="11"/>
        <v/>
      </c>
      <c r="H157" s="32" t="str">
        <f t="shared" si="12"/>
        <v/>
      </c>
      <c r="I157" s="44"/>
      <c r="J157" s="31" t="str">
        <f t="shared" si="13"/>
        <v/>
      </c>
      <c r="K157" s="34"/>
      <c r="L157" s="35"/>
      <c r="M157" s="34"/>
      <c r="N157" s="34"/>
      <c r="O157" s="2" t="str">
        <f t="shared" si="14"/>
        <v xml:space="preserve"> </v>
      </c>
      <c r="P157" s="45"/>
      <c r="Q157" s="2"/>
      <c r="R157" s="2"/>
    </row>
    <row r="158" spans="1:18" s="36" customFormat="1" x14ac:dyDescent="0.2">
      <c r="A158" s="28">
        <v>1</v>
      </c>
      <c r="B158" s="29"/>
      <c r="C158" s="30" t="str">
        <f t="shared" si="10"/>
        <v/>
      </c>
      <c r="D158" s="31"/>
      <c r="E158" s="31"/>
      <c r="F158" s="32"/>
      <c r="G158" s="33" t="str">
        <f t="shared" si="11"/>
        <v/>
      </c>
      <c r="H158" s="32" t="str">
        <f t="shared" si="12"/>
        <v/>
      </c>
      <c r="I158" s="44"/>
      <c r="J158" s="31" t="str">
        <f t="shared" si="13"/>
        <v/>
      </c>
      <c r="K158" s="34"/>
      <c r="L158" s="35"/>
      <c r="M158" s="34"/>
      <c r="N158" s="34"/>
      <c r="O158" s="2" t="str">
        <f t="shared" si="14"/>
        <v xml:space="preserve"> </v>
      </c>
      <c r="P158" s="45"/>
      <c r="Q158" s="2"/>
      <c r="R158" s="2"/>
    </row>
    <row r="159" spans="1:18" s="36" customFormat="1" x14ac:dyDescent="0.2">
      <c r="A159" s="28">
        <v>1</v>
      </c>
      <c r="B159" s="29"/>
      <c r="C159" s="30" t="str">
        <f t="shared" si="10"/>
        <v/>
      </c>
      <c r="D159" s="31"/>
      <c r="E159" s="31"/>
      <c r="F159" s="32"/>
      <c r="G159" s="33" t="str">
        <f t="shared" si="11"/>
        <v/>
      </c>
      <c r="H159" s="32" t="str">
        <f t="shared" si="12"/>
        <v/>
      </c>
      <c r="I159" s="44"/>
      <c r="J159" s="31" t="str">
        <f t="shared" si="13"/>
        <v/>
      </c>
      <c r="K159" s="34"/>
      <c r="L159" s="35"/>
      <c r="M159" s="34"/>
      <c r="N159" s="34"/>
      <c r="O159" s="2" t="str">
        <f t="shared" si="14"/>
        <v xml:space="preserve"> </v>
      </c>
      <c r="P159" s="45"/>
      <c r="Q159" s="2"/>
      <c r="R159" s="2"/>
    </row>
    <row r="160" spans="1:18" s="36" customFormat="1" x14ac:dyDescent="0.2">
      <c r="A160" s="28">
        <v>1</v>
      </c>
      <c r="B160" s="29"/>
      <c r="C160" s="30" t="str">
        <f t="shared" si="10"/>
        <v/>
      </c>
      <c r="D160" s="31"/>
      <c r="E160" s="31"/>
      <c r="F160" s="32"/>
      <c r="G160" s="33" t="str">
        <f t="shared" si="11"/>
        <v/>
      </c>
      <c r="H160" s="32" t="str">
        <f t="shared" si="12"/>
        <v/>
      </c>
      <c r="I160" s="44"/>
      <c r="J160" s="31" t="str">
        <f t="shared" si="13"/>
        <v/>
      </c>
      <c r="K160" s="34"/>
      <c r="L160" s="35"/>
      <c r="M160" s="34"/>
      <c r="N160" s="34"/>
      <c r="O160" s="2" t="str">
        <f t="shared" si="14"/>
        <v xml:space="preserve"> </v>
      </c>
      <c r="P160" s="45"/>
      <c r="Q160" s="2"/>
      <c r="R160" s="2"/>
    </row>
    <row r="161" spans="1:18" s="36" customFormat="1" x14ac:dyDescent="0.2">
      <c r="A161" s="28">
        <v>1</v>
      </c>
      <c r="B161" s="29"/>
      <c r="C161" s="30" t="str">
        <f t="shared" si="10"/>
        <v/>
      </c>
      <c r="D161" s="31"/>
      <c r="E161" s="31"/>
      <c r="F161" s="32"/>
      <c r="G161" s="33" t="str">
        <f t="shared" si="11"/>
        <v/>
      </c>
      <c r="H161" s="32" t="str">
        <f t="shared" si="12"/>
        <v/>
      </c>
      <c r="I161" s="44"/>
      <c r="J161" s="31" t="str">
        <f t="shared" si="13"/>
        <v/>
      </c>
      <c r="K161" s="34"/>
      <c r="L161" s="35"/>
      <c r="M161" s="34"/>
      <c r="N161" s="34"/>
      <c r="O161" s="2" t="str">
        <f t="shared" si="14"/>
        <v xml:space="preserve"> </v>
      </c>
      <c r="P161" s="45"/>
      <c r="Q161" s="2"/>
      <c r="R161" s="2"/>
    </row>
    <row r="162" spans="1:18" s="36" customFormat="1" x14ac:dyDescent="0.2">
      <c r="A162" s="28">
        <v>1</v>
      </c>
      <c r="B162" s="29"/>
      <c r="C162" s="30" t="str">
        <f t="shared" si="10"/>
        <v/>
      </c>
      <c r="D162" s="31"/>
      <c r="E162" s="31"/>
      <c r="F162" s="32"/>
      <c r="G162" s="33" t="str">
        <f t="shared" si="11"/>
        <v/>
      </c>
      <c r="H162" s="32" t="str">
        <f t="shared" si="12"/>
        <v/>
      </c>
      <c r="I162" s="44"/>
      <c r="J162" s="31" t="str">
        <f t="shared" si="13"/>
        <v/>
      </c>
      <c r="K162" s="34"/>
      <c r="L162" s="35"/>
      <c r="M162" s="34"/>
      <c r="N162" s="34"/>
      <c r="O162" s="2" t="str">
        <f t="shared" si="14"/>
        <v xml:space="preserve"> </v>
      </c>
      <c r="P162" s="45"/>
      <c r="Q162" s="2"/>
      <c r="R162" s="2"/>
    </row>
    <row r="163" spans="1:18" s="36" customFormat="1" x14ac:dyDescent="0.2">
      <c r="A163" s="28">
        <v>1</v>
      </c>
      <c r="B163" s="29"/>
      <c r="C163" s="30" t="str">
        <f t="shared" si="10"/>
        <v/>
      </c>
      <c r="D163" s="31"/>
      <c r="E163" s="31"/>
      <c r="F163" s="32"/>
      <c r="G163" s="33" t="str">
        <f t="shared" si="11"/>
        <v/>
      </c>
      <c r="H163" s="32" t="str">
        <f t="shared" si="12"/>
        <v/>
      </c>
      <c r="I163" s="44"/>
      <c r="J163" s="31" t="str">
        <f t="shared" si="13"/>
        <v/>
      </c>
      <c r="K163" s="34"/>
      <c r="L163" s="35"/>
      <c r="M163" s="34"/>
      <c r="N163" s="34"/>
      <c r="O163" s="2" t="str">
        <f t="shared" si="14"/>
        <v xml:space="preserve"> </v>
      </c>
      <c r="P163" s="45"/>
      <c r="Q163" s="2"/>
      <c r="R163" s="2"/>
    </row>
    <row r="164" spans="1:18" s="36" customFormat="1" x14ac:dyDescent="0.2">
      <c r="A164" s="28">
        <v>1</v>
      </c>
      <c r="B164" s="29"/>
      <c r="C164" s="30" t="str">
        <f t="shared" si="10"/>
        <v/>
      </c>
      <c r="D164" s="31"/>
      <c r="E164" s="31"/>
      <c r="F164" s="32"/>
      <c r="G164" s="33" t="str">
        <f t="shared" si="11"/>
        <v/>
      </c>
      <c r="H164" s="32" t="str">
        <f t="shared" si="12"/>
        <v/>
      </c>
      <c r="I164" s="44"/>
      <c r="J164" s="31" t="str">
        <f t="shared" si="13"/>
        <v/>
      </c>
      <c r="K164" s="34"/>
      <c r="L164" s="35"/>
      <c r="M164" s="34"/>
      <c r="N164" s="34"/>
      <c r="O164" s="2" t="str">
        <f t="shared" si="14"/>
        <v xml:space="preserve"> </v>
      </c>
      <c r="P164" s="45"/>
      <c r="Q164" s="2"/>
      <c r="R164" s="2"/>
    </row>
    <row r="165" spans="1:18" s="36" customFormat="1" x14ac:dyDescent="0.2">
      <c r="A165" s="28">
        <v>1</v>
      </c>
      <c r="B165" s="29"/>
      <c r="C165" s="30" t="str">
        <f t="shared" si="10"/>
        <v/>
      </c>
      <c r="D165" s="31"/>
      <c r="E165" s="31"/>
      <c r="F165" s="32"/>
      <c r="G165" s="33" t="str">
        <f t="shared" si="11"/>
        <v/>
      </c>
      <c r="H165" s="32" t="str">
        <f t="shared" si="12"/>
        <v/>
      </c>
      <c r="I165" s="44"/>
      <c r="J165" s="31" t="str">
        <f t="shared" si="13"/>
        <v/>
      </c>
      <c r="K165" s="34"/>
      <c r="L165" s="35"/>
      <c r="M165" s="34"/>
      <c r="N165" s="34"/>
      <c r="O165" s="2" t="str">
        <f t="shared" si="14"/>
        <v xml:space="preserve"> </v>
      </c>
      <c r="P165" s="45"/>
      <c r="Q165" s="2"/>
      <c r="R165" s="2"/>
    </row>
    <row r="166" spans="1:18" s="2" customFormat="1" x14ac:dyDescent="0.2">
      <c r="A166" s="28">
        <v>1</v>
      </c>
      <c r="B166" s="29"/>
      <c r="C166" s="30" t="str">
        <f t="shared" si="10"/>
        <v/>
      </c>
      <c r="D166" s="31"/>
      <c r="E166" s="31"/>
      <c r="F166" s="32"/>
      <c r="G166" s="33" t="str">
        <f t="shared" si="11"/>
        <v/>
      </c>
      <c r="H166" s="32" t="str">
        <f t="shared" si="12"/>
        <v/>
      </c>
      <c r="I166" s="44"/>
      <c r="J166" s="31" t="str">
        <f t="shared" si="13"/>
        <v/>
      </c>
      <c r="K166" s="34"/>
      <c r="L166" s="35"/>
      <c r="M166" s="34"/>
      <c r="N166" s="34"/>
      <c r="O166" s="2" t="str">
        <f t="shared" si="14"/>
        <v xml:space="preserve"> </v>
      </c>
      <c r="P166" s="45"/>
    </row>
    <row r="167" spans="1:18" s="2" customFormat="1" x14ac:dyDescent="0.2">
      <c r="A167" s="28">
        <v>1</v>
      </c>
      <c r="B167" s="29"/>
      <c r="C167" s="30" t="str">
        <f t="shared" si="10"/>
        <v/>
      </c>
      <c r="D167" s="31"/>
      <c r="E167" s="31"/>
      <c r="F167" s="32"/>
      <c r="G167" s="33" t="str">
        <f t="shared" si="11"/>
        <v/>
      </c>
      <c r="H167" s="32" t="str">
        <f t="shared" si="12"/>
        <v/>
      </c>
      <c r="I167" s="44"/>
      <c r="J167" s="31" t="str">
        <f t="shared" si="13"/>
        <v/>
      </c>
      <c r="K167" s="34"/>
      <c r="L167" s="35"/>
      <c r="M167" s="34"/>
      <c r="N167" s="34"/>
      <c r="O167" s="2" t="str">
        <f t="shared" si="14"/>
        <v xml:space="preserve"> </v>
      </c>
      <c r="P167" s="45"/>
    </row>
    <row r="168" spans="1:18" s="2" customFormat="1" x14ac:dyDescent="0.2">
      <c r="A168" s="28"/>
      <c r="B168" s="29"/>
      <c r="C168" s="30" t="str">
        <f t="shared" si="10"/>
        <v/>
      </c>
      <c r="D168" s="31"/>
      <c r="E168" s="31"/>
      <c r="F168" s="32"/>
      <c r="G168" s="33" t="str">
        <f t="shared" si="11"/>
        <v/>
      </c>
      <c r="H168" s="32" t="str">
        <f t="shared" si="12"/>
        <v/>
      </c>
      <c r="I168" s="44"/>
      <c r="J168" s="31" t="str">
        <f t="shared" si="13"/>
        <v/>
      </c>
      <c r="K168" s="34"/>
      <c r="L168" s="35"/>
      <c r="M168" s="34"/>
      <c r="N168" s="34"/>
      <c r="O168" s="2" t="str">
        <f t="shared" si="14"/>
        <v xml:space="preserve"> </v>
      </c>
    </row>
    <row r="169" spans="1:18" s="2" customFormat="1" x14ac:dyDescent="0.2">
      <c r="A169" s="28"/>
      <c r="B169" s="29"/>
      <c r="C169" s="30" t="str">
        <f t="shared" si="10"/>
        <v/>
      </c>
      <c r="D169" s="31"/>
      <c r="E169" s="31"/>
      <c r="F169" s="32"/>
      <c r="G169" s="33" t="str">
        <f t="shared" si="11"/>
        <v/>
      </c>
      <c r="H169" s="32" t="str">
        <f t="shared" si="12"/>
        <v/>
      </c>
      <c r="I169" s="44"/>
      <c r="J169" s="31" t="str">
        <f t="shared" si="13"/>
        <v/>
      </c>
      <c r="K169" s="34"/>
      <c r="L169" s="35"/>
      <c r="M169" s="34"/>
      <c r="N169" s="34"/>
      <c r="O169" s="2" t="str">
        <f t="shared" si="14"/>
        <v xml:space="preserve"> </v>
      </c>
    </row>
    <row r="170" spans="1:18" s="2" customFormat="1" x14ac:dyDescent="0.2">
      <c r="A170" s="28"/>
      <c r="B170" s="29"/>
      <c r="C170" s="30" t="str">
        <f t="shared" si="10"/>
        <v/>
      </c>
      <c r="D170" s="31"/>
      <c r="E170" s="31"/>
      <c r="F170" s="32"/>
      <c r="G170" s="33" t="str">
        <f t="shared" si="11"/>
        <v/>
      </c>
      <c r="H170" s="32" t="str">
        <f t="shared" si="12"/>
        <v/>
      </c>
      <c r="I170" s="44"/>
      <c r="J170" s="31" t="str">
        <f t="shared" si="13"/>
        <v/>
      </c>
      <c r="K170" s="34"/>
      <c r="L170" s="35"/>
      <c r="M170" s="34"/>
      <c r="N170" s="34"/>
      <c r="O170" s="2" t="str">
        <f t="shared" si="14"/>
        <v xml:space="preserve"> </v>
      </c>
    </row>
    <row r="171" spans="1:18" s="2" customFormat="1" x14ac:dyDescent="0.2">
      <c r="A171" s="28"/>
      <c r="B171" s="29"/>
      <c r="C171" s="30" t="str">
        <f t="shared" si="10"/>
        <v/>
      </c>
      <c r="D171" s="31"/>
      <c r="E171" s="31"/>
      <c r="F171" s="32"/>
      <c r="G171" s="33" t="str">
        <f t="shared" si="11"/>
        <v/>
      </c>
      <c r="H171" s="32" t="str">
        <f t="shared" si="12"/>
        <v/>
      </c>
      <c r="I171" s="44"/>
      <c r="J171" s="31" t="str">
        <f t="shared" si="13"/>
        <v/>
      </c>
      <c r="K171" s="34"/>
      <c r="L171" s="35"/>
      <c r="M171" s="34"/>
      <c r="N171" s="34"/>
      <c r="O171" s="2" t="str">
        <f t="shared" si="14"/>
        <v xml:space="preserve"> </v>
      </c>
    </row>
    <row r="172" spans="1:18" s="2" customFormat="1" x14ac:dyDescent="0.2">
      <c r="A172" s="28"/>
      <c r="B172" s="29"/>
      <c r="C172" s="30" t="str">
        <f t="shared" si="10"/>
        <v/>
      </c>
      <c r="D172" s="31"/>
      <c r="E172" s="31"/>
      <c r="F172" s="32"/>
      <c r="G172" s="33" t="str">
        <f t="shared" si="11"/>
        <v/>
      </c>
      <c r="H172" s="32" t="str">
        <f t="shared" si="12"/>
        <v/>
      </c>
      <c r="I172" s="44"/>
      <c r="J172" s="31" t="str">
        <f t="shared" si="13"/>
        <v/>
      </c>
      <c r="K172" s="34"/>
      <c r="L172" s="35"/>
      <c r="M172" s="34"/>
      <c r="N172" s="34"/>
      <c r="O172" s="2" t="str">
        <f t="shared" si="14"/>
        <v xml:space="preserve"> </v>
      </c>
    </row>
    <row r="173" spans="1:18" s="2" customFormat="1" x14ac:dyDescent="0.2">
      <c r="A173" s="28"/>
      <c r="B173" s="29"/>
      <c r="C173" s="30" t="str">
        <f t="shared" si="10"/>
        <v/>
      </c>
      <c r="D173" s="31"/>
      <c r="E173" s="31"/>
      <c r="F173" s="32"/>
      <c r="G173" s="33" t="str">
        <f t="shared" si="11"/>
        <v/>
      </c>
      <c r="H173" s="32" t="str">
        <f t="shared" si="12"/>
        <v/>
      </c>
      <c r="I173" s="44"/>
      <c r="J173" s="31" t="str">
        <f t="shared" si="13"/>
        <v/>
      </c>
      <c r="K173" s="34"/>
      <c r="L173" s="35"/>
      <c r="M173" s="34"/>
      <c r="N173" s="34"/>
      <c r="O173" s="2" t="str">
        <f t="shared" si="14"/>
        <v xml:space="preserve"> </v>
      </c>
    </row>
    <row r="174" spans="1:18" s="2" customFormat="1" x14ac:dyDescent="0.2">
      <c r="A174" s="28"/>
      <c r="B174" s="29"/>
      <c r="C174" s="30" t="str">
        <f t="shared" si="10"/>
        <v/>
      </c>
      <c r="D174" s="31"/>
      <c r="E174" s="31"/>
      <c r="F174" s="32"/>
      <c r="G174" s="33" t="str">
        <f t="shared" si="11"/>
        <v/>
      </c>
      <c r="H174" s="32" t="str">
        <f t="shared" si="12"/>
        <v/>
      </c>
      <c r="I174" s="44"/>
      <c r="J174" s="31" t="str">
        <f t="shared" si="13"/>
        <v/>
      </c>
      <c r="K174" s="34"/>
      <c r="L174" s="35"/>
      <c r="M174" s="34"/>
      <c r="N174" s="34"/>
      <c r="O174" s="2" t="str">
        <f t="shared" si="14"/>
        <v xml:space="preserve"> </v>
      </c>
    </row>
    <row r="175" spans="1:18" s="2" customFormat="1" x14ac:dyDescent="0.2">
      <c r="A175" s="28"/>
      <c r="B175" s="29"/>
      <c r="C175" s="30" t="str">
        <f t="shared" si="10"/>
        <v/>
      </c>
      <c r="D175" s="31"/>
      <c r="E175" s="31"/>
      <c r="F175" s="32"/>
      <c r="G175" s="33" t="str">
        <f t="shared" si="11"/>
        <v/>
      </c>
      <c r="H175" s="32" t="str">
        <f t="shared" si="12"/>
        <v/>
      </c>
      <c r="I175" s="44"/>
      <c r="J175" s="31" t="str">
        <f t="shared" si="13"/>
        <v/>
      </c>
      <c r="K175" s="34"/>
      <c r="L175" s="35"/>
      <c r="M175" s="34"/>
      <c r="N175" s="34"/>
      <c r="O175" s="2" t="str">
        <f t="shared" si="14"/>
        <v xml:space="preserve"> </v>
      </c>
    </row>
    <row r="176" spans="1:18" s="2" customFormat="1" x14ac:dyDescent="0.2">
      <c r="A176" s="28"/>
      <c r="B176" s="29"/>
      <c r="C176" s="30" t="str">
        <f t="shared" si="10"/>
        <v/>
      </c>
      <c r="D176" s="31"/>
      <c r="E176" s="31"/>
      <c r="F176" s="32"/>
      <c r="G176" s="33" t="str">
        <f t="shared" si="11"/>
        <v/>
      </c>
      <c r="H176" s="32" t="str">
        <f t="shared" si="12"/>
        <v/>
      </c>
      <c r="I176" s="44"/>
      <c r="J176" s="31" t="str">
        <f t="shared" si="13"/>
        <v/>
      </c>
      <c r="K176" s="34"/>
      <c r="L176" s="35"/>
      <c r="M176" s="34"/>
      <c r="N176" s="34"/>
      <c r="O176" s="2" t="str">
        <f t="shared" si="14"/>
        <v xml:space="preserve"> </v>
      </c>
    </row>
    <row r="177" spans="1:15" s="2" customFormat="1" x14ac:dyDescent="0.2">
      <c r="A177" s="28"/>
      <c r="B177" s="29"/>
      <c r="C177" s="30" t="str">
        <f t="shared" si="10"/>
        <v/>
      </c>
      <c r="D177" s="31"/>
      <c r="E177" s="31"/>
      <c r="F177" s="32"/>
      <c r="G177" s="33" t="str">
        <f t="shared" si="11"/>
        <v/>
      </c>
      <c r="H177" s="32" t="str">
        <f t="shared" si="12"/>
        <v/>
      </c>
      <c r="I177" s="44"/>
      <c r="J177" s="31" t="str">
        <f t="shared" si="13"/>
        <v/>
      </c>
      <c r="K177" s="34"/>
      <c r="L177" s="35"/>
      <c r="M177" s="34"/>
      <c r="N177" s="34"/>
      <c r="O177" s="2" t="str">
        <f t="shared" si="14"/>
        <v xml:space="preserve"> </v>
      </c>
    </row>
    <row r="178" spans="1:15" s="2" customFormat="1" x14ac:dyDescent="0.2">
      <c r="A178" s="28"/>
      <c r="B178" s="29"/>
      <c r="C178" s="30" t="str">
        <f t="shared" si="10"/>
        <v/>
      </c>
      <c r="D178" s="31"/>
      <c r="E178" s="31"/>
      <c r="F178" s="32"/>
      <c r="G178" s="33" t="str">
        <f t="shared" si="11"/>
        <v/>
      </c>
      <c r="H178" s="32" t="str">
        <f t="shared" si="12"/>
        <v/>
      </c>
      <c r="I178" s="44"/>
      <c r="J178" s="31" t="str">
        <f t="shared" si="13"/>
        <v/>
      </c>
      <c r="K178" s="34"/>
      <c r="L178" s="35"/>
      <c r="M178" s="34"/>
      <c r="N178" s="34"/>
      <c r="O178" s="2" t="str">
        <f t="shared" si="14"/>
        <v xml:space="preserve"> </v>
      </c>
    </row>
    <row r="179" spans="1:15" s="2" customFormat="1" x14ac:dyDescent="0.2">
      <c r="A179" s="28"/>
      <c r="B179" s="29"/>
      <c r="C179" s="30" t="str">
        <f t="shared" si="10"/>
        <v/>
      </c>
      <c r="D179" s="31"/>
      <c r="E179" s="31"/>
      <c r="F179" s="32"/>
      <c r="G179" s="33" t="str">
        <f t="shared" si="11"/>
        <v/>
      </c>
      <c r="H179" s="32" t="str">
        <f t="shared" si="12"/>
        <v/>
      </c>
      <c r="I179" s="44"/>
      <c r="J179" s="31" t="str">
        <f t="shared" si="13"/>
        <v/>
      </c>
      <c r="K179" s="34"/>
      <c r="L179" s="35"/>
      <c r="M179" s="34"/>
      <c r="N179" s="34"/>
      <c r="O179" s="2" t="str">
        <f t="shared" si="14"/>
        <v xml:space="preserve"> </v>
      </c>
    </row>
    <row r="180" spans="1:15" s="2" customFormat="1" x14ac:dyDescent="0.2">
      <c r="A180" s="28"/>
      <c r="B180" s="29"/>
      <c r="C180" s="30" t="str">
        <f t="shared" si="10"/>
        <v/>
      </c>
      <c r="D180" s="31"/>
      <c r="E180" s="31"/>
      <c r="F180" s="32"/>
      <c r="G180" s="33" t="str">
        <f t="shared" si="11"/>
        <v/>
      </c>
      <c r="H180" s="32" t="str">
        <f t="shared" si="12"/>
        <v/>
      </c>
      <c r="I180" s="44"/>
      <c r="J180" s="31" t="str">
        <f t="shared" si="13"/>
        <v/>
      </c>
      <c r="K180" s="34"/>
      <c r="L180" s="35"/>
      <c r="M180" s="34"/>
      <c r="N180" s="34"/>
      <c r="O180" s="2" t="str">
        <f t="shared" si="14"/>
        <v xml:space="preserve"> </v>
      </c>
    </row>
    <row r="181" spans="1:15" s="2" customFormat="1" x14ac:dyDescent="0.2">
      <c r="A181" s="28"/>
      <c r="B181" s="29"/>
      <c r="C181" s="30" t="str">
        <f t="shared" si="10"/>
        <v/>
      </c>
      <c r="D181" s="31"/>
      <c r="E181" s="31"/>
      <c r="F181" s="32"/>
      <c r="G181" s="33" t="str">
        <f t="shared" si="11"/>
        <v/>
      </c>
      <c r="H181" s="32" t="str">
        <f t="shared" si="12"/>
        <v/>
      </c>
      <c r="I181" s="44"/>
      <c r="J181" s="31" t="str">
        <f t="shared" si="13"/>
        <v/>
      </c>
      <c r="K181" s="34"/>
      <c r="L181" s="35"/>
      <c r="M181" s="34"/>
      <c r="N181" s="34"/>
      <c r="O181" s="2" t="str">
        <f t="shared" si="14"/>
        <v xml:space="preserve"> </v>
      </c>
    </row>
    <row r="182" spans="1:15" s="2" customFormat="1" x14ac:dyDescent="0.2">
      <c r="A182" s="28"/>
      <c r="B182" s="29"/>
      <c r="C182" s="30" t="str">
        <f t="shared" si="10"/>
        <v/>
      </c>
      <c r="D182" s="31"/>
      <c r="E182" s="31"/>
      <c r="F182" s="32"/>
      <c r="G182" s="33" t="str">
        <f t="shared" si="11"/>
        <v/>
      </c>
      <c r="H182" s="32" t="str">
        <f t="shared" si="12"/>
        <v/>
      </c>
      <c r="I182" s="44"/>
      <c r="J182" s="31" t="str">
        <f t="shared" si="13"/>
        <v/>
      </c>
      <c r="K182" s="34"/>
      <c r="L182" s="35"/>
      <c r="M182" s="34"/>
      <c r="N182" s="34"/>
      <c r="O182" s="2" t="str">
        <f t="shared" si="14"/>
        <v xml:space="preserve"> </v>
      </c>
    </row>
    <row r="183" spans="1:15" s="2" customFormat="1" x14ac:dyDescent="0.2">
      <c r="A183" s="28"/>
      <c r="B183" s="29"/>
      <c r="C183" s="30" t="str">
        <f t="shared" si="10"/>
        <v/>
      </c>
      <c r="D183" s="31"/>
      <c r="E183" s="31"/>
      <c r="F183" s="32"/>
      <c r="G183" s="33" t="str">
        <f t="shared" si="11"/>
        <v/>
      </c>
      <c r="H183" s="32" t="str">
        <f t="shared" si="12"/>
        <v/>
      </c>
      <c r="I183" s="44"/>
      <c r="J183" s="31" t="str">
        <f t="shared" si="13"/>
        <v/>
      </c>
      <c r="K183" s="34"/>
      <c r="L183" s="35"/>
      <c r="M183" s="34"/>
      <c r="N183" s="34"/>
      <c r="O183" s="2" t="str">
        <f t="shared" si="14"/>
        <v xml:space="preserve"> </v>
      </c>
    </row>
    <row r="184" spans="1:15" s="2" customFormat="1" x14ac:dyDescent="0.2">
      <c r="A184" s="28"/>
      <c r="B184" s="29"/>
      <c r="C184" s="30" t="str">
        <f t="shared" si="10"/>
        <v/>
      </c>
      <c r="D184" s="31"/>
      <c r="E184" s="31"/>
      <c r="F184" s="32"/>
      <c r="G184" s="33" t="str">
        <f t="shared" si="11"/>
        <v/>
      </c>
      <c r="H184" s="32" t="str">
        <f t="shared" si="12"/>
        <v/>
      </c>
      <c r="I184" s="44"/>
      <c r="J184" s="31" t="str">
        <f t="shared" si="13"/>
        <v/>
      </c>
      <c r="K184" s="34"/>
      <c r="L184" s="35"/>
      <c r="M184" s="34"/>
      <c r="N184" s="34"/>
      <c r="O184" s="2" t="str">
        <f t="shared" si="14"/>
        <v xml:space="preserve"> </v>
      </c>
    </row>
    <row r="185" spans="1:15" s="2" customFormat="1" x14ac:dyDescent="0.2">
      <c r="A185" s="28"/>
      <c r="B185" s="29"/>
      <c r="C185" s="30" t="str">
        <f t="shared" si="10"/>
        <v/>
      </c>
      <c r="D185" s="31"/>
      <c r="E185" s="31"/>
      <c r="F185" s="32"/>
      <c r="G185" s="33" t="str">
        <f t="shared" si="11"/>
        <v/>
      </c>
      <c r="H185" s="32" t="str">
        <f t="shared" si="12"/>
        <v/>
      </c>
      <c r="I185" s="44"/>
      <c r="J185" s="31" t="str">
        <f t="shared" si="13"/>
        <v/>
      </c>
      <c r="K185" s="34"/>
      <c r="L185" s="35"/>
      <c r="M185" s="34"/>
      <c r="N185" s="34"/>
      <c r="O185" s="2" t="str">
        <f t="shared" si="14"/>
        <v xml:space="preserve"> </v>
      </c>
    </row>
    <row r="186" spans="1:15" s="2" customFormat="1" x14ac:dyDescent="0.2">
      <c r="A186" s="28"/>
      <c r="B186" s="29"/>
      <c r="C186" s="30" t="str">
        <f t="shared" si="10"/>
        <v/>
      </c>
      <c r="D186" s="31"/>
      <c r="E186" s="31"/>
      <c r="F186" s="32"/>
      <c r="G186" s="33" t="str">
        <f t="shared" si="11"/>
        <v/>
      </c>
      <c r="H186" s="32" t="str">
        <f t="shared" si="12"/>
        <v/>
      </c>
      <c r="I186" s="44"/>
      <c r="J186" s="31" t="str">
        <f t="shared" si="13"/>
        <v/>
      </c>
      <c r="K186" s="34"/>
      <c r="L186" s="35"/>
      <c r="M186" s="34"/>
      <c r="N186" s="34"/>
      <c r="O186" s="2" t="str">
        <f t="shared" si="14"/>
        <v xml:space="preserve"> </v>
      </c>
    </row>
    <row r="187" spans="1:15" s="2" customFormat="1" x14ac:dyDescent="0.2">
      <c r="A187" s="28"/>
      <c r="B187" s="29"/>
      <c r="C187" s="30" t="str">
        <f t="shared" si="10"/>
        <v/>
      </c>
      <c r="D187" s="31"/>
      <c r="E187" s="31"/>
      <c r="F187" s="32"/>
      <c r="G187" s="33" t="str">
        <f t="shared" si="11"/>
        <v/>
      </c>
      <c r="H187" s="32" t="str">
        <f t="shared" si="12"/>
        <v/>
      </c>
      <c r="I187" s="44"/>
      <c r="J187" s="31" t="str">
        <f t="shared" si="13"/>
        <v/>
      </c>
      <c r="K187" s="34"/>
      <c r="L187" s="35"/>
      <c r="M187" s="34"/>
      <c r="N187" s="34"/>
      <c r="O187" s="2" t="str">
        <f t="shared" si="14"/>
        <v xml:space="preserve"> </v>
      </c>
    </row>
    <row r="188" spans="1:15" s="2" customFormat="1" x14ac:dyDescent="0.2">
      <c r="A188" s="28"/>
      <c r="B188" s="29"/>
      <c r="C188" s="30" t="str">
        <f t="shared" si="10"/>
        <v/>
      </c>
      <c r="D188" s="31"/>
      <c r="E188" s="31"/>
      <c r="F188" s="32"/>
      <c r="G188" s="33" t="str">
        <f t="shared" si="11"/>
        <v/>
      </c>
      <c r="H188" s="32" t="str">
        <f t="shared" si="12"/>
        <v/>
      </c>
      <c r="I188" s="44"/>
      <c r="J188" s="31" t="str">
        <f t="shared" si="13"/>
        <v/>
      </c>
      <c r="K188" s="34"/>
      <c r="L188" s="35"/>
      <c r="M188" s="34"/>
      <c r="N188" s="34"/>
      <c r="O188" s="2" t="str">
        <f t="shared" si="14"/>
        <v xml:space="preserve"> </v>
      </c>
    </row>
    <row r="189" spans="1:15" s="2" customFormat="1" x14ac:dyDescent="0.2">
      <c r="A189" s="28"/>
      <c r="B189" s="29"/>
      <c r="C189" s="30" t="str">
        <f t="shared" si="10"/>
        <v/>
      </c>
      <c r="D189" s="31"/>
      <c r="E189" s="31"/>
      <c r="F189" s="32"/>
      <c r="G189" s="33" t="str">
        <f t="shared" si="11"/>
        <v/>
      </c>
      <c r="H189" s="32" t="str">
        <f t="shared" si="12"/>
        <v/>
      </c>
      <c r="I189" s="44"/>
      <c r="J189" s="31" t="str">
        <f t="shared" si="13"/>
        <v/>
      </c>
      <c r="K189" s="34"/>
      <c r="L189" s="35"/>
      <c r="M189" s="34"/>
      <c r="N189" s="34"/>
      <c r="O189" s="2" t="str">
        <f t="shared" si="14"/>
        <v xml:space="preserve"> </v>
      </c>
    </row>
    <row r="190" spans="1:15" s="2" customFormat="1" x14ac:dyDescent="0.2">
      <c r="A190" s="28"/>
      <c r="B190" s="29"/>
      <c r="C190" s="30" t="str">
        <f t="shared" si="10"/>
        <v/>
      </c>
      <c r="D190" s="31"/>
      <c r="E190" s="31"/>
      <c r="F190" s="32"/>
      <c r="G190" s="33" t="str">
        <f t="shared" si="11"/>
        <v/>
      </c>
      <c r="H190" s="32" t="str">
        <f t="shared" si="12"/>
        <v/>
      </c>
      <c r="I190" s="44"/>
      <c r="J190" s="31" t="str">
        <f t="shared" si="13"/>
        <v/>
      </c>
      <c r="K190" s="34"/>
      <c r="L190" s="35"/>
      <c r="M190" s="34"/>
      <c r="N190" s="34"/>
      <c r="O190" s="2" t="str">
        <f t="shared" si="14"/>
        <v xml:space="preserve"> </v>
      </c>
    </row>
    <row r="191" spans="1:15" s="2" customFormat="1" x14ac:dyDescent="0.2">
      <c r="A191" s="28"/>
      <c r="B191" s="29"/>
      <c r="C191" s="30" t="str">
        <f t="shared" si="10"/>
        <v/>
      </c>
      <c r="D191" s="31"/>
      <c r="E191" s="31"/>
      <c r="F191" s="32"/>
      <c r="G191" s="33" t="str">
        <f t="shared" si="11"/>
        <v/>
      </c>
      <c r="H191" s="32" t="str">
        <f t="shared" si="12"/>
        <v/>
      </c>
      <c r="I191" s="44"/>
      <c r="J191" s="31" t="str">
        <f t="shared" si="13"/>
        <v/>
      </c>
      <c r="K191" s="34"/>
      <c r="L191" s="35"/>
      <c r="M191" s="34"/>
      <c r="N191" s="34"/>
      <c r="O191" s="2" t="str">
        <f t="shared" si="14"/>
        <v xml:space="preserve"> </v>
      </c>
    </row>
    <row r="192" spans="1:15" s="2" customFormat="1" x14ac:dyDescent="0.2">
      <c r="A192" s="28"/>
      <c r="B192" s="29"/>
      <c r="C192" s="30" t="str">
        <f t="shared" si="10"/>
        <v/>
      </c>
      <c r="D192" s="31"/>
      <c r="E192" s="31"/>
      <c r="F192" s="32"/>
      <c r="G192" s="33" t="str">
        <f t="shared" si="11"/>
        <v/>
      </c>
      <c r="H192" s="32" t="str">
        <f t="shared" si="12"/>
        <v/>
      </c>
      <c r="I192" s="44"/>
      <c r="J192" s="31" t="str">
        <f t="shared" si="13"/>
        <v/>
      </c>
      <c r="K192" s="34"/>
      <c r="L192" s="35"/>
      <c r="M192" s="34"/>
      <c r="N192" s="34"/>
      <c r="O192" s="2" t="str">
        <f t="shared" si="14"/>
        <v xml:space="preserve"> </v>
      </c>
    </row>
    <row r="193" spans="1:15" s="2" customFormat="1" x14ac:dyDescent="0.2">
      <c r="A193" s="28"/>
      <c r="B193" s="29"/>
      <c r="C193" s="30" t="str">
        <f t="shared" ref="C193" si="15">IF(B193="","",TEXT(DAY(B193),"00")&amp;"/"&amp;TEXT(MONTH(B193),"00"))</f>
        <v/>
      </c>
      <c r="D193" s="31"/>
      <c r="E193" s="31"/>
      <c r="F193" s="32"/>
      <c r="G193" s="33" t="str">
        <f t="shared" si="11"/>
        <v/>
      </c>
      <c r="H193" s="32" t="str">
        <f t="shared" si="12"/>
        <v/>
      </c>
      <c r="I193" s="44"/>
      <c r="J193" s="31" t="str">
        <f t="shared" si="13"/>
        <v/>
      </c>
      <c r="K193" s="34"/>
      <c r="L193" s="35"/>
      <c r="M193" s="34"/>
      <c r="N193" s="34"/>
    </row>
    <row r="194" spans="1:15" s="2" customFormat="1" x14ac:dyDescent="0.2">
      <c r="A194" s="28"/>
      <c r="B194" s="29"/>
      <c r="C194" s="30" t="str">
        <f t="shared" si="10"/>
        <v/>
      </c>
      <c r="D194" s="31"/>
      <c r="E194" s="31"/>
      <c r="F194" s="32"/>
      <c r="G194" s="33" t="str">
        <f t="shared" si="11"/>
        <v/>
      </c>
      <c r="H194" s="32" t="str">
        <f t="shared" si="12"/>
        <v/>
      </c>
      <c r="I194" s="44"/>
      <c r="J194" s="31" t="str">
        <f t="shared" si="13"/>
        <v/>
      </c>
      <c r="K194" s="34"/>
      <c r="L194" s="35"/>
      <c r="M194" s="34"/>
      <c r="N194" s="34"/>
      <c r="O194" s="2" t="str">
        <f t="shared" ref="O194:O214" si="16">CONCATENATE(K194," ",N194)</f>
        <v xml:space="preserve"> </v>
      </c>
    </row>
    <row r="195" spans="1:15" s="2" customFormat="1" x14ac:dyDescent="0.2">
      <c r="A195" s="28"/>
      <c r="B195" s="29"/>
      <c r="C195" s="30" t="str">
        <f t="shared" si="10"/>
        <v/>
      </c>
      <c r="D195" s="31"/>
      <c r="E195" s="31"/>
      <c r="F195" s="32"/>
      <c r="G195" s="33" t="str">
        <f t="shared" si="11"/>
        <v/>
      </c>
      <c r="H195" s="32" t="str">
        <f t="shared" si="12"/>
        <v/>
      </c>
      <c r="I195" s="44"/>
      <c r="J195" s="31" t="str">
        <f t="shared" si="13"/>
        <v/>
      </c>
      <c r="K195" s="34"/>
      <c r="L195" s="35"/>
      <c r="M195" s="34"/>
      <c r="N195" s="34"/>
      <c r="O195" s="2" t="str">
        <f t="shared" si="16"/>
        <v xml:space="preserve"> </v>
      </c>
    </row>
    <row r="196" spans="1:15" s="2" customFormat="1" x14ac:dyDescent="0.2">
      <c r="A196" s="28"/>
      <c r="B196" s="29"/>
      <c r="C196" s="30" t="str">
        <f t="shared" si="10"/>
        <v/>
      </c>
      <c r="D196" s="31"/>
      <c r="E196" s="31"/>
      <c r="F196" s="32"/>
      <c r="G196" s="33" t="str">
        <f t="shared" si="11"/>
        <v/>
      </c>
      <c r="H196" s="32" t="str">
        <f t="shared" si="12"/>
        <v/>
      </c>
      <c r="I196" s="44"/>
      <c r="J196" s="31" t="str">
        <f t="shared" si="13"/>
        <v/>
      </c>
      <c r="K196" s="34"/>
      <c r="L196" s="35"/>
      <c r="M196" s="34"/>
      <c r="N196" s="34"/>
      <c r="O196" s="2" t="str">
        <f t="shared" si="16"/>
        <v xml:space="preserve"> </v>
      </c>
    </row>
    <row r="197" spans="1:15" s="2" customFormat="1" x14ac:dyDescent="0.2">
      <c r="A197" s="28"/>
      <c r="B197" s="29"/>
      <c r="C197" s="30" t="str">
        <f t="shared" ref="C197" si="17">IF(B197="","",TEXT(DAY(B197),"00")&amp;"/"&amp;TEXT(MONTH(B197),"00"))</f>
        <v/>
      </c>
      <c r="D197" s="31"/>
      <c r="E197" s="31"/>
      <c r="F197" s="32"/>
      <c r="G197" s="33" t="str">
        <f t="shared" si="11"/>
        <v/>
      </c>
      <c r="H197" s="32" t="str">
        <f t="shared" si="12"/>
        <v/>
      </c>
      <c r="I197" s="44"/>
      <c r="J197" s="31" t="str">
        <f t="shared" si="13"/>
        <v/>
      </c>
      <c r="K197" s="34"/>
      <c r="L197" s="35"/>
      <c r="M197" s="34"/>
      <c r="N197" s="34"/>
    </row>
    <row r="198" spans="1:15" s="2" customFormat="1" x14ac:dyDescent="0.2">
      <c r="A198" s="28"/>
      <c r="B198" s="29"/>
      <c r="C198" s="30" t="str">
        <f t="shared" si="10"/>
        <v/>
      </c>
      <c r="D198" s="31"/>
      <c r="E198" s="31"/>
      <c r="F198" s="32"/>
      <c r="G198" s="33" t="str">
        <f t="shared" si="11"/>
        <v/>
      </c>
      <c r="H198" s="32" t="str">
        <f t="shared" si="12"/>
        <v/>
      </c>
      <c r="I198" s="44"/>
      <c r="J198" s="31" t="str">
        <f t="shared" si="13"/>
        <v/>
      </c>
      <c r="K198" s="34"/>
      <c r="L198" s="35"/>
      <c r="M198" s="34"/>
      <c r="N198" s="34"/>
      <c r="O198" s="2" t="str">
        <f t="shared" si="16"/>
        <v xml:space="preserve"> </v>
      </c>
    </row>
    <row r="199" spans="1:15" s="2" customFormat="1" x14ac:dyDescent="0.2">
      <c r="A199" s="28"/>
      <c r="B199" s="29"/>
      <c r="C199" s="30" t="str">
        <f t="shared" ref="C199:C263" si="18">IF(B199="","",TEXT(DAY(B199),"00")&amp;"/"&amp;TEXT(MONTH(B199),"00"))</f>
        <v/>
      </c>
      <c r="D199" s="31"/>
      <c r="E199" s="31"/>
      <c r="F199" s="32"/>
      <c r="G199" s="33" t="str">
        <f t="shared" si="11"/>
        <v/>
      </c>
      <c r="H199" s="32" t="str">
        <f t="shared" ref="H199:H262" si="19">IF(F199&lt;&gt;"",ABS(F199),"")</f>
        <v/>
      </c>
      <c r="I199" s="44"/>
      <c r="J199" s="31" t="str">
        <f t="shared" ref="J199:J262" si="20">IF(F199=0,"",IF(F199&lt;0,"PAGAMENTO","RECEBIMENTO"))</f>
        <v/>
      </c>
      <c r="K199" s="34"/>
      <c r="L199" s="35"/>
      <c r="M199" s="34"/>
      <c r="N199" s="34"/>
      <c r="O199" s="2" t="str">
        <f t="shared" si="16"/>
        <v xml:space="preserve"> </v>
      </c>
    </row>
    <row r="200" spans="1:15" s="2" customFormat="1" x14ac:dyDescent="0.2">
      <c r="A200" s="28"/>
      <c r="B200" s="29"/>
      <c r="C200" s="30" t="str">
        <f t="shared" ref="C200" si="21">IF(B200="","",TEXT(DAY(B200),"00")&amp;"/"&amp;TEXT(MONTH(B200),"00"))</f>
        <v/>
      </c>
      <c r="D200" s="31"/>
      <c r="E200" s="31"/>
      <c r="F200" s="32"/>
      <c r="G200" s="33" t="str">
        <f t="shared" si="11"/>
        <v/>
      </c>
      <c r="H200" s="32" t="str">
        <f t="shared" si="19"/>
        <v/>
      </c>
      <c r="I200" s="44"/>
      <c r="J200" s="31" t="str">
        <f t="shared" si="20"/>
        <v/>
      </c>
      <c r="K200" s="34"/>
      <c r="L200" s="35"/>
      <c r="M200" s="34"/>
      <c r="N200" s="34"/>
    </row>
    <row r="201" spans="1:15" s="2" customFormat="1" x14ac:dyDescent="0.2">
      <c r="A201" s="28"/>
      <c r="B201" s="29"/>
      <c r="C201" s="30" t="str">
        <f t="shared" si="18"/>
        <v/>
      </c>
      <c r="D201" s="31"/>
      <c r="E201" s="31"/>
      <c r="F201" s="32"/>
      <c r="G201" s="33" t="str">
        <f t="shared" si="11"/>
        <v/>
      </c>
      <c r="H201" s="32" t="str">
        <f t="shared" si="19"/>
        <v/>
      </c>
      <c r="I201" s="44"/>
      <c r="J201" s="31" t="str">
        <f t="shared" si="20"/>
        <v/>
      </c>
      <c r="K201" s="34"/>
      <c r="L201" s="35"/>
      <c r="M201" s="34"/>
      <c r="N201" s="34"/>
      <c r="O201" s="2" t="str">
        <f t="shared" si="16"/>
        <v xml:space="preserve"> </v>
      </c>
    </row>
    <row r="202" spans="1:15" s="2" customFormat="1" x14ac:dyDescent="0.2">
      <c r="A202" s="28"/>
      <c r="B202" s="29"/>
      <c r="C202" s="30" t="str">
        <f t="shared" si="18"/>
        <v/>
      </c>
      <c r="D202" s="31"/>
      <c r="E202" s="31"/>
      <c r="F202" s="32"/>
      <c r="G202" s="33" t="str">
        <f t="shared" ref="G202:G265" si="22">IF(F202&lt;&gt;"",F202+G201,"")</f>
        <v/>
      </c>
      <c r="H202" s="32" t="str">
        <f t="shared" si="19"/>
        <v/>
      </c>
      <c r="I202" s="44"/>
      <c r="J202" s="31" t="str">
        <f t="shared" si="20"/>
        <v/>
      </c>
      <c r="K202" s="34"/>
      <c r="L202" s="35"/>
      <c r="M202" s="34"/>
      <c r="N202" s="34"/>
      <c r="O202" s="2" t="str">
        <f t="shared" si="16"/>
        <v xml:space="preserve"> </v>
      </c>
    </row>
    <row r="203" spans="1:15" s="2" customFormat="1" x14ac:dyDescent="0.2">
      <c r="A203" s="28"/>
      <c r="B203" s="29"/>
      <c r="C203" s="30" t="str">
        <f t="shared" si="18"/>
        <v/>
      </c>
      <c r="D203" s="31"/>
      <c r="E203" s="31"/>
      <c r="F203" s="32"/>
      <c r="G203" s="33" t="str">
        <f t="shared" si="22"/>
        <v/>
      </c>
      <c r="H203" s="32" t="str">
        <f t="shared" si="19"/>
        <v/>
      </c>
      <c r="I203" s="44"/>
      <c r="J203" s="31" t="str">
        <f t="shared" si="20"/>
        <v/>
      </c>
      <c r="K203" s="34"/>
      <c r="L203" s="35"/>
      <c r="M203" s="34"/>
      <c r="N203" s="34"/>
      <c r="O203" s="2" t="str">
        <f t="shared" si="16"/>
        <v xml:space="preserve"> </v>
      </c>
    </row>
    <row r="204" spans="1:15" s="2" customFormat="1" x14ac:dyDescent="0.2">
      <c r="A204" s="28"/>
      <c r="B204" s="29"/>
      <c r="C204" s="30" t="str">
        <f t="shared" si="18"/>
        <v/>
      </c>
      <c r="D204" s="31"/>
      <c r="E204" s="31"/>
      <c r="F204" s="32"/>
      <c r="G204" s="33" t="str">
        <f t="shared" si="22"/>
        <v/>
      </c>
      <c r="H204" s="32" t="str">
        <f t="shared" si="19"/>
        <v/>
      </c>
      <c r="I204" s="44"/>
      <c r="J204" s="31" t="str">
        <f t="shared" si="20"/>
        <v/>
      </c>
      <c r="K204" s="34"/>
      <c r="L204" s="35"/>
      <c r="M204" s="34"/>
      <c r="N204" s="34"/>
      <c r="O204" s="2" t="str">
        <f t="shared" si="16"/>
        <v xml:space="preserve"> </v>
      </c>
    </row>
    <row r="205" spans="1:15" s="2" customFormat="1" x14ac:dyDescent="0.2">
      <c r="A205" s="28"/>
      <c r="B205" s="29"/>
      <c r="C205" s="30" t="str">
        <f t="shared" si="18"/>
        <v/>
      </c>
      <c r="D205" s="31"/>
      <c r="E205" s="31"/>
      <c r="F205" s="32"/>
      <c r="G205" s="33" t="str">
        <f t="shared" si="22"/>
        <v/>
      </c>
      <c r="H205" s="32" t="str">
        <f t="shared" si="19"/>
        <v/>
      </c>
      <c r="I205" s="44"/>
      <c r="J205" s="31" t="str">
        <f t="shared" si="20"/>
        <v/>
      </c>
      <c r="K205" s="34"/>
      <c r="L205" s="35"/>
      <c r="M205" s="34"/>
      <c r="N205" s="34"/>
      <c r="O205" s="2" t="str">
        <f t="shared" si="16"/>
        <v xml:space="preserve"> </v>
      </c>
    </row>
    <row r="206" spans="1:15" s="2" customFormat="1" x14ac:dyDescent="0.2">
      <c r="A206" s="28"/>
      <c r="B206" s="29"/>
      <c r="C206" s="30" t="str">
        <f t="shared" si="18"/>
        <v/>
      </c>
      <c r="D206" s="31"/>
      <c r="E206" s="31"/>
      <c r="F206" s="32"/>
      <c r="G206" s="33" t="str">
        <f t="shared" si="22"/>
        <v/>
      </c>
      <c r="H206" s="32" t="str">
        <f t="shared" si="19"/>
        <v/>
      </c>
      <c r="I206" s="44"/>
      <c r="J206" s="31" t="str">
        <f t="shared" si="20"/>
        <v/>
      </c>
      <c r="K206" s="34"/>
      <c r="L206" s="35"/>
      <c r="M206" s="34"/>
      <c r="N206" s="34"/>
      <c r="O206" s="2" t="str">
        <f t="shared" si="16"/>
        <v xml:space="preserve"> </v>
      </c>
    </row>
    <row r="207" spans="1:15" s="2" customFormat="1" x14ac:dyDescent="0.2">
      <c r="A207" s="28"/>
      <c r="B207" s="29"/>
      <c r="C207" s="30" t="str">
        <f t="shared" si="18"/>
        <v/>
      </c>
      <c r="D207" s="31"/>
      <c r="E207" s="31"/>
      <c r="F207" s="32"/>
      <c r="G207" s="33" t="str">
        <f t="shared" si="22"/>
        <v/>
      </c>
      <c r="H207" s="32" t="str">
        <f t="shared" si="19"/>
        <v/>
      </c>
      <c r="I207" s="44"/>
      <c r="J207" s="31" t="str">
        <f t="shared" si="20"/>
        <v/>
      </c>
      <c r="K207" s="34"/>
      <c r="L207" s="35"/>
      <c r="M207" s="34"/>
      <c r="N207" s="34"/>
      <c r="O207" s="2" t="str">
        <f t="shared" si="16"/>
        <v xml:space="preserve"> </v>
      </c>
    </row>
    <row r="208" spans="1:15" s="2" customFormat="1" x14ac:dyDescent="0.2">
      <c r="A208" s="28"/>
      <c r="B208" s="29"/>
      <c r="C208" s="30" t="str">
        <f t="shared" si="18"/>
        <v/>
      </c>
      <c r="D208" s="31"/>
      <c r="E208" s="31"/>
      <c r="F208" s="32"/>
      <c r="G208" s="33" t="str">
        <f t="shared" si="22"/>
        <v/>
      </c>
      <c r="H208" s="32" t="str">
        <f t="shared" si="19"/>
        <v/>
      </c>
      <c r="I208" s="44"/>
      <c r="J208" s="31" t="str">
        <f t="shared" si="20"/>
        <v/>
      </c>
      <c r="K208" s="34"/>
      <c r="L208" s="35"/>
      <c r="M208" s="34"/>
      <c r="N208" s="34"/>
      <c r="O208" s="2" t="str">
        <f t="shared" si="16"/>
        <v xml:space="preserve"> </v>
      </c>
    </row>
    <row r="209" spans="1:15" s="2" customFormat="1" x14ac:dyDescent="0.2">
      <c r="A209" s="28"/>
      <c r="B209" s="29"/>
      <c r="C209" s="30" t="str">
        <f t="shared" si="18"/>
        <v/>
      </c>
      <c r="D209" s="31"/>
      <c r="E209" s="31"/>
      <c r="F209" s="32"/>
      <c r="G209" s="33" t="str">
        <f t="shared" si="22"/>
        <v/>
      </c>
      <c r="H209" s="32" t="str">
        <f t="shared" si="19"/>
        <v/>
      </c>
      <c r="I209" s="44"/>
      <c r="J209" s="31" t="str">
        <f t="shared" si="20"/>
        <v/>
      </c>
      <c r="K209" s="34"/>
      <c r="L209" s="35"/>
      <c r="M209" s="34"/>
      <c r="N209" s="34"/>
      <c r="O209" s="2" t="str">
        <f t="shared" si="16"/>
        <v xml:space="preserve"> </v>
      </c>
    </row>
    <row r="210" spans="1:15" s="2" customFormat="1" x14ac:dyDescent="0.2">
      <c r="A210" s="28"/>
      <c r="B210" s="29"/>
      <c r="C210" s="30" t="str">
        <f t="shared" si="18"/>
        <v/>
      </c>
      <c r="D210" s="31"/>
      <c r="E210" s="31"/>
      <c r="F210" s="32"/>
      <c r="G210" s="33" t="str">
        <f t="shared" si="22"/>
        <v/>
      </c>
      <c r="H210" s="32" t="str">
        <f t="shared" si="19"/>
        <v/>
      </c>
      <c r="I210" s="44"/>
      <c r="J210" s="31" t="str">
        <f t="shared" si="20"/>
        <v/>
      </c>
      <c r="K210" s="34"/>
      <c r="L210" s="35"/>
      <c r="M210" s="34"/>
      <c r="N210" s="34"/>
      <c r="O210" s="2" t="str">
        <f t="shared" si="16"/>
        <v xml:space="preserve"> </v>
      </c>
    </row>
    <row r="211" spans="1:15" s="2" customFormat="1" x14ac:dyDescent="0.2">
      <c r="A211" s="28"/>
      <c r="B211" s="29"/>
      <c r="C211" s="30" t="str">
        <f t="shared" si="18"/>
        <v/>
      </c>
      <c r="D211" s="31"/>
      <c r="E211" s="31"/>
      <c r="F211" s="32"/>
      <c r="G211" s="33" t="str">
        <f t="shared" si="22"/>
        <v/>
      </c>
      <c r="H211" s="32" t="str">
        <f t="shared" si="19"/>
        <v/>
      </c>
      <c r="I211" s="44"/>
      <c r="J211" s="31" t="str">
        <f t="shared" si="20"/>
        <v/>
      </c>
      <c r="K211" s="34"/>
      <c r="L211" s="35"/>
      <c r="M211" s="34"/>
      <c r="N211" s="34"/>
      <c r="O211" s="2" t="str">
        <f t="shared" si="16"/>
        <v xml:space="preserve"> </v>
      </c>
    </row>
    <row r="212" spans="1:15" s="2" customFormat="1" x14ac:dyDescent="0.2">
      <c r="A212" s="28"/>
      <c r="B212" s="29"/>
      <c r="C212" s="30" t="str">
        <f t="shared" si="18"/>
        <v/>
      </c>
      <c r="D212" s="31"/>
      <c r="E212" s="31"/>
      <c r="F212" s="32"/>
      <c r="G212" s="33" t="str">
        <f t="shared" si="22"/>
        <v/>
      </c>
      <c r="H212" s="32" t="str">
        <f t="shared" si="19"/>
        <v/>
      </c>
      <c r="I212" s="44"/>
      <c r="J212" s="31" t="str">
        <f t="shared" si="20"/>
        <v/>
      </c>
      <c r="K212" s="34"/>
      <c r="L212" s="35"/>
      <c r="M212" s="34"/>
      <c r="N212" s="34"/>
      <c r="O212" s="2" t="str">
        <f t="shared" si="16"/>
        <v xml:space="preserve"> </v>
      </c>
    </row>
    <row r="213" spans="1:15" s="2" customFormat="1" x14ac:dyDescent="0.2">
      <c r="A213" s="28"/>
      <c r="B213" s="29"/>
      <c r="C213" s="30" t="str">
        <f t="shared" si="18"/>
        <v/>
      </c>
      <c r="D213" s="31"/>
      <c r="E213" s="31"/>
      <c r="F213" s="32"/>
      <c r="G213" s="33" t="str">
        <f t="shared" si="22"/>
        <v/>
      </c>
      <c r="H213" s="32" t="str">
        <f t="shared" si="19"/>
        <v/>
      </c>
      <c r="I213" s="44"/>
      <c r="J213" s="31" t="str">
        <f t="shared" si="20"/>
        <v/>
      </c>
      <c r="K213" s="34"/>
      <c r="L213" s="35"/>
      <c r="M213" s="34"/>
      <c r="N213" s="34"/>
      <c r="O213" s="2" t="str">
        <f t="shared" si="16"/>
        <v xml:space="preserve"> </v>
      </c>
    </row>
    <row r="214" spans="1:15" s="2" customFormat="1" x14ac:dyDescent="0.2">
      <c r="A214" s="28"/>
      <c r="B214" s="29"/>
      <c r="C214" s="30" t="str">
        <f t="shared" si="18"/>
        <v/>
      </c>
      <c r="D214" s="31"/>
      <c r="E214" s="31"/>
      <c r="F214" s="32"/>
      <c r="G214" s="33" t="str">
        <f t="shared" si="22"/>
        <v/>
      </c>
      <c r="H214" s="32" t="str">
        <f t="shared" si="19"/>
        <v/>
      </c>
      <c r="I214" s="44"/>
      <c r="J214" s="31" t="str">
        <f t="shared" si="20"/>
        <v/>
      </c>
      <c r="K214" s="34"/>
      <c r="L214" s="35"/>
      <c r="M214" s="34"/>
      <c r="N214" s="34"/>
      <c r="O214" s="2" t="str">
        <f t="shared" si="16"/>
        <v xml:space="preserve"> </v>
      </c>
    </row>
    <row r="215" spans="1:15" s="2" customFormat="1" x14ac:dyDescent="0.2">
      <c r="A215" s="28"/>
      <c r="B215" s="29"/>
      <c r="C215" s="30" t="str">
        <f t="shared" si="18"/>
        <v/>
      </c>
      <c r="D215" s="31"/>
      <c r="E215" s="31"/>
      <c r="F215" s="32"/>
      <c r="G215" s="33" t="str">
        <f t="shared" si="22"/>
        <v/>
      </c>
      <c r="H215" s="32" t="str">
        <f t="shared" si="19"/>
        <v/>
      </c>
      <c r="I215" s="44"/>
      <c r="J215" s="31" t="str">
        <f t="shared" si="20"/>
        <v/>
      </c>
      <c r="K215" s="34"/>
      <c r="L215" s="35"/>
      <c r="M215" s="34"/>
      <c r="N215" s="34"/>
      <c r="O215" s="2" t="str">
        <f t="shared" ref="O215:O278" si="23">CONCATENATE(K215," ",N215)</f>
        <v xml:space="preserve"> </v>
      </c>
    </row>
    <row r="216" spans="1:15" s="2" customFormat="1" x14ac:dyDescent="0.2">
      <c r="A216" s="28"/>
      <c r="B216" s="29"/>
      <c r="C216" s="30" t="str">
        <f t="shared" si="18"/>
        <v/>
      </c>
      <c r="D216" s="31"/>
      <c r="E216" s="31"/>
      <c r="F216" s="32"/>
      <c r="G216" s="33" t="str">
        <f t="shared" si="22"/>
        <v/>
      </c>
      <c r="H216" s="32" t="str">
        <f t="shared" si="19"/>
        <v/>
      </c>
      <c r="I216" s="44"/>
      <c r="J216" s="31" t="str">
        <f t="shared" si="20"/>
        <v/>
      </c>
      <c r="K216" s="34"/>
      <c r="L216" s="35"/>
      <c r="M216" s="34"/>
      <c r="N216" s="34"/>
      <c r="O216" s="2" t="str">
        <f t="shared" si="23"/>
        <v xml:space="preserve"> </v>
      </c>
    </row>
    <row r="217" spans="1:15" s="2" customFormat="1" x14ac:dyDescent="0.2">
      <c r="A217" s="28"/>
      <c r="B217" s="29"/>
      <c r="C217" s="30" t="str">
        <f t="shared" si="18"/>
        <v/>
      </c>
      <c r="D217" s="31"/>
      <c r="E217" s="31"/>
      <c r="F217" s="32"/>
      <c r="G217" s="33" t="str">
        <f t="shared" si="22"/>
        <v/>
      </c>
      <c r="H217" s="32" t="str">
        <f t="shared" si="19"/>
        <v/>
      </c>
      <c r="I217" s="44"/>
      <c r="J217" s="31" t="str">
        <f t="shared" si="20"/>
        <v/>
      </c>
      <c r="K217" s="34"/>
      <c r="L217" s="35"/>
      <c r="M217" s="34"/>
      <c r="N217" s="34"/>
      <c r="O217" s="2" t="str">
        <f t="shared" si="23"/>
        <v xml:space="preserve"> </v>
      </c>
    </row>
    <row r="218" spans="1:15" s="2" customFormat="1" x14ac:dyDescent="0.2">
      <c r="A218" s="28"/>
      <c r="B218" s="29"/>
      <c r="C218" s="30" t="str">
        <f t="shared" si="18"/>
        <v/>
      </c>
      <c r="D218" s="31"/>
      <c r="E218" s="31"/>
      <c r="F218" s="32"/>
      <c r="G218" s="33" t="str">
        <f t="shared" si="22"/>
        <v/>
      </c>
      <c r="H218" s="32" t="str">
        <f t="shared" si="19"/>
        <v/>
      </c>
      <c r="I218" s="44"/>
      <c r="J218" s="31" t="str">
        <f t="shared" si="20"/>
        <v/>
      </c>
      <c r="K218" s="34"/>
      <c r="L218" s="35"/>
      <c r="M218" s="34"/>
      <c r="N218" s="34"/>
      <c r="O218" s="2" t="str">
        <f t="shared" si="23"/>
        <v xml:space="preserve"> </v>
      </c>
    </row>
    <row r="219" spans="1:15" s="2" customFormat="1" x14ac:dyDescent="0.2">
      <c r="A219" s="28"/>
      <c r="B219" s="29"/>
      <c r="C219" s="30" t="str">
        <f t="shared" si="18"/>
        <v/>
      </c>
      <c r="D219" s="31"/>
      <c r="E219" s="31"/>
      <c r="F219" s="32"/>
      <c r="G219" s="33" t="str">
        <f t="shared" si="22"/>
        <v/>
      </c>
      <c r="H219" s="32" t="str">
        <f t="shared" si="19"/>
        <v/>
      </c>
      <c r="I219" s="44"/>
      <c r="J219" s="31" t="str">
        <f t="shared" si="20"/>
        <v/>
      </c>
      <c r="K219" s="34"/>
      <c r="L219" s="35"/>
      <c r="M219" s="34"/>
      <c r="N219" s="34"/>
      <c r="O219" s="2" t="str">
        <f t="shared" si="23"/>
        <v xml:space="preserve"> </v>
      </c>
    </row>
    <row r="220" spans="1:15" s="2" customFormat="1" x14ac:dyDescent="0.2">
      <c r="A220" s="28"/>
      <c r="B220" s="29"/>
      <c r="C220" s="30" t="str">
        <f t="shared" si="18"/>
        <v/>
      </c>
      <c r="D220" s="31"/>
      <c r="E220" s="31"/>
      <c r="F220" s="32"/>
      <c r="G220" s="33" t="str">
        <f t="shared" si="22"/>
        <v/>
      </c>
      <c r="H220" s="32" t="str">
        <f t="shared" si="19"/>
        <v/>
      </c>
      <c r="I220" s="44"/>
      <c r="J220" s="31" t="str">
        <f t="shared" si="20"/>
        <v/>
      </c>
      <c r="K220" s="34"/>
      <c r="L220" s="35"/>
      <c r="M220" s="34"/>
      <c r="N220" s="34"/>
      <c r="O220" s="2" t="str">
        <f t="shared" si="23"/>
        <v xml:space="preserve"> </v>
      </c>
    </row>
    <row r="221" spans="1:15" s="2" customFormat="1" x14ac:dyDescent="0.2">
      <c r="A221" s="28"/>
      <c r="B221" s="29"/>
      <c r="C221" s="30" t="str">
        <f t="shared" si="18"/>
        <v/>
      </c>
      <c r="D221" s="31"/>
      <c r="E221" s="31"/>
      <c r="F221" s="32"/>
      <c r="G221" s="33" t="str">
        <f t="shared" si="22"/>
        <v/>
      </c>
      <c r="H221" s="32" t="str">
        <f t="shared" si="19"/>
        <v/>
      </c>
      <c r="I221" s="44"/>
      <c r="J221" s="31" t="str">
        <f t="shared" si="20"/>
        <v/>
      </c>
      <c r="K221" s="34"/>
      <c r="L221" s="35"/>
      <c r="M221" s="34"/>
      <c r="N221" s="34"/>
      <c r="O221" s="2" t="str">
        <f t="shared" si="23"/>
        <v xml:space="preserve"> </v>
      </c>
    </row>
    <row r="222" spans="1:15" s="2" customFormat="1" x14ac:dyDescent="0.2">
      <c r="A222" s="28"/>
      <c r="B222" s="29"/>
      <c r="C222" s="30" t="str">
        <f t="shared" si="18"/>
        <v/>
      </c>
      <c r="D222" s="31"/>
      <c r="E222" s="31"/>
      <c r="F222" s="32"/>
      <c r="G222" s="33" t="str">
        <f t="shared" si="22"/>
        <v/>
      </c>
      <c r="H222" s="32" t="str">
        <f t="shared" si="19"/>
        <v/>
      </c>
      <c r="I222" s="44"/>
      <c r="J222" s="31" t="str">
        <f t="shared" si="20"/>
        <v/>
      </c>
      <c r="K222" s="34"/>
      <c r="L222" s="35"/>
      <c r="M222" s="34"/>
      <c r="N222" s="34"/>
      <c r="O222" s="2" t="str">
        <f t="shared" si="23"/>
        <v xml:space="preserve"> </v>
      </c>
    </row>
    <row r="223" spans="1:15" s="2" customFormat="1" x14ac:dyDescent="0.2">
      <c r="A223" s="28"/>
      <c r="B223" s="29"/>
      <c r="C223" s="30" t="str">
        <f t="shared" si="18"/>
        <v/>
      </c>
      <c r="D223" s="31"/>
      <c r="E223" s="31"/>
      <c r="F223" s="32"/>
      <c r="G223" s="33" t="str">
        <f t="shared" si="22"/>
        <v/>
      </c>
      <c r="H223" s="32" t="str">
        <f t="shared" si="19"/>
        <v/>
      </c>
      <c r="I223" s="44"/>
      <c r="J223" s="31" t="str">
        <f t="shared" si="20"/>
        <v/>
      </c>
      <c r="K223" s="34"/>
      <c r="L223" s="35"/>
      <c r="M223" s="34"/>
      <c r="N223" s="34"/>
      <c r="O223" s="2" t="str">
        <f t="shared" si="23"/>
        <v xml:space="preserve"> </v>
      </c>
    </row>
    <row r="224" spans="1:15" s="2" customFormat="1" x14ac:dyDescent="0.2">
      <c r="A224" s="28"/>
      <c r="B224" s="29"/>
      <c r="C224" s="30" t="str">
        <f t="shared" si="18"/>
        <v/>
      </c>
      <c r="D224" s="31"/>
      <c r="E224" s="31"/>
      <c r="F224" s="32"/>
      <c r="G224" s="33" t="str">
        <f t="shared" si="22"/>
        <v/>
      </c>
      <c r="H224" s="32" t="str">
        <f t="shared" si="19"/>
        <v/>
      </c>
      <c r="I224" s="44"/>
      <c r="J224" s="31" t="str">
        <f t="shared" si="20"/>
        <v/>
      </c>
      <c r="K224" s="34"/>
      <c r="L224" s="35"/>
      <c r="M224" s="34"/>
      <c r="N224" s="34"/>
      <c r="O224" s="2" t="str">
        <f t="shared" si="23"/>
        <v xml:space="preserve"> </v>
      </c>
    </row>
    <row r="225" spans="1:15" s="2" customFormat="1" x14ac:dyDescent="0.2">
      <c r="A225" s="28"/>
      <c r="B225" s="29"/>
      <c r="C225" s="30" t="str">
        <f t="shared" si="18"/>
        <v/>
      </c>
      <c r="D225" s="31"/>
      <c r="E225" s="31"/>
      <c r="F225" s="32"/>
      <c r="G225" s="33" t="str">
        <f t="shared" si="22"/>
        <v/>
      </c>
      <c r="H225" s="32" t="str">
        <f t="shared" si="19"/>
        <v/>
      </c>
      <c r="I225" s="44"/>
      <c r="J225" s="31" t="str">
        <f t="shared" si="20"/>
        <v/>
      </c>
      <c r="K225" s="34"/>
      <c r="L225" s="35"/>
      <c r="M225" s="34"/>
      <c r="N225" s="34"/>
      <c r="O225" s="2" t="str">
        <f t="shared" si="23"/>
        <v xml:space="preserve"> </v>
      </c>
    </row>
    <row r="226" spans="1:15" s="2" customFormat="1" x14ac:dyDescent="0.2">
      <c r="A226" s="28"/>
      <c r="B226" s="29"/>
      <c r="C226" s="30" t="str">
        <f t="shared" si="18"/>
        <v/>
      </c>
      <c r="D226" s="31"/>
      <c r="E226" s="31"/>
      <c r="F226" s="32"/>
      <c r="G226" s="33" t="str">
        <f t="shared" si="22"/>
        <v/>
      </c>
      <c r="H226" s="32" t="str">
        <f t="shared" si="19"/>
        <v/>
      </c>
      <c r="I226" s="44"/>
      <c r="J226" s="31" t="str">
        <f t="shared" si="20"/>
        <v/>
      </c>
      <c r="K226" s="34"/>
      <c r="L226" s="35"/>
      <c r="M226" s="34"/>
      <c r="N226" s="34"/>
      <c r="O226" s="2" t="str">
        <f t="shared" si="23"/>
        <v xml:space="preserve"> </v>
      </c>
    </row>
    <row r="227" spans="1:15" s="2" customFormat="1" x14ac:dyDescent="0.2">
      <c r="A227" s="28"/>
      <c r="B227" s="29"/>
      <c r="C227" s="30" t="str">
        <f t="shared" si="18"/>
        <v/>
      </c>
      <c r="D227" s="31"/>
      <c r="E227" s="31"/>
      <c r="F227" s="32"/>
      <c r="G227" s="33" t="str">
        <f t="shared" si="22"/>
        <v/>
      </c>
      <c r="H227" s="32" t="str">
        <f t="shared" si="19"/>
        <v/>
      </c>
      <c r="I227" s="44"/>
      <c r="J227" s="31" t="str">
        <f t="shared" si="20"/>
        <v/>
      </c>
      <c r="K227" s="34"/>
      <c r="L227" s="35"/>
      <c r="M227" s="34"/>
      <c r="N227" s="34"/>
      <c r="O227" s="2" t="str">
        <f t="shared" si="23"/>
        <v xml:space="preserve"> </v>
      </c>
    </row>
    <row r="228" spans="1:15" s="2" customFormat="1" x14ac:dyDescent="0.2">
      <c r="A228" s="28"/>
      <c r="B228" s="29"/>
      <c r="C228" s="30" t="str">
        <f t="shared" si="18"/>
        <v/>
      </c>
      <c r="D228" s="31"/>
      <c r="E228" s="31"/>
      <c r="F228" s="32"/>
      <c r="G228" s="33" t="str">
        <f t="shared" si="22"/>
        <v/>
      </c>
      <c r="H228" s="32" t="str">
        <f t="shared" si="19"/>
        <v/>
      </c>
      <c r="I228" s="44"/>
      <c r="J228" s="31" t="str">
        <f t="shared" si="20"/>
        <v/>
      </c>
      <c r="K228" s="34"/>
      <c r="L228" s="35"/>
      <c r="M228" s="34"/>
      <c r="N228" s="34"/>
      <c r="O228" s="2" t="str">
        <f t="shared" si="23"/>
        <v xml:space="preserve"> </v>
      </c>
    </row>
    <row r="229" spans="1:15" s="2" customFormat="1" x14ac:dyDescent="0.2">
      <c r="A229" s="28"/>
      <c r="B229" s="29"/>
      <c r="C229" s="30" t="str">
        <f t="shared" si="18"/>
        <v/>
      </c>
      <c r="D229" s="31"/>
      <c r="E229" s="31"/>
      <c r="F229" s="32"/>
      <c r="G229" s="33" t="str">
        <f t="shared" si="22"/>
        <v/>
      </c>
      <c r="H229" s="32" t="str">
        <f t="shared" si="19"/>
        <v/>
      </c>
      <c r="I229" s="44"/>
      <c r="J229" s="31" t="str">
        <f t="shared" si="20"/>
        <v/>
      </c>
      <c r="K229" s="34"/>
      <c r="L229" s="35"/>
      <c r="M229" s="34"/>
      <c r="N229" s="34"/>
      <c r="O229" s="2" t="str">
        <f t="shared" si="23"/>
        <v xml:space="preserve"> </v>
      </c>
    </row>
    <row r="230" spans="1:15" s="2" customFormat="1" x14ac:dyDescent="0.2">
      <c r="A230" s="28"/>
      <c r="B230" s="29"/>
      <c r="C230" s="30" t="str">
        <f t="shared" si="18"/>
        <v/>
      </c>
      <c r="D230" s="31"/>
      <c r="E230" s="31"/>
      <c r="F230" s="32"/>
      <c r="G230" s="33" t="str">
        <f t="shared" si="22"/>
        <v/>
      </c>
      <c r="H230" s="32" t="str">
        <f t="shared" si="19"/>
        <v/>
      </c>
      <c r="I230" s="44"/>
      <c r="J230" s="31" t="str">
        <f t="shared" si="20"/>
        <v/>
      </c>
      <c r="K230" s="34"/>
      <c r="L230" s="35"/>
      <c r="M230" s="34"/>
      <c r="N230" s="34"/>
      <c r="O230" s="2" t="str">
        <f t="shared" si="23"/>
        <v xml:space="preserve"> </v>
      </c>
    </row>
    <row r="231" spans="1:15" s="2" customFormat="1" x14ac:dyDescent="0.2">
      <c r="A231" s="28"/>
      <c r="B231" s="29"/>
      <c r="C231" s="30" t="str">
        <f t="shared" si="18"/>
        <v/>
      </c>
      <c r="D231" s="31"/>
      <c r="E231" s="31"/>
      <c r="F231" s="32"/>
      <c r="G231" s="33" t="str">
        <f t="shared" si="22"/>
        <v/>
      </c>
      <c r="H231" s="32" t="str">
        <f t="shared" si="19"/>
        <v/>
      </c>
      <c r="I231" s="44"/>
      <c r="J231" s="31" t="str">
        <f t="shared" si="20"/>
        <v/>
      </c>
      <c r="K231" s="34"/>
      <c r="L231" s="35"/>
      <c r="M231" s="34"/>
      <c r="N231" s="34"/>
      <c r="O231" s="2" t="str">
        <f t="shared" si="23"/>
        <v xml:space="preserve"> </v>
      </c>
    </row>
    <row r="232" spans="1:15" s="2" customFormat="1" x14ac:dyDescent="0.2">
      <c r="A232" s="28"/>
      <c r="B232" s="29"/>
      <c r="C232" s="30" t="str">
        <f t="shared" si="18"/>
        <v/>
      </c>
      <c r="D232" s="31"/>
      <c r="E232" s="31"/>
      <c r="F232" s="32"/>
      <c r="G232" s="33" t="str">
        <f t="shared" si="22"/>
        <v/>
      </c>
      <c r="H232" s="32" t="str">
        <f t="shared" si="19"/>
        <v/>
      </c>
      <c r="I232" s="44"/>
      <c r="J232" s="31" t="str">
        <f t="shared" si="20"/>
        <v/>
      </c>
      <c r="K232" s="34"/>
      <c r="L232" s="35"/>
      <c r="M232" s="34"/>
      <c r="N232" s="34"/>
      <c r="O232" s="2" t="str">
        <f t="shared" si="23"/>
        <v xml:space="preserve"> </v>
      </c>
    </row>
    <row r="233" spans="1:15" s="2" customFormat="1" x14ac:dyDescent="0.2">
      <c r="A233" s="28"/>
      <c r="B233" s="29"/>
      <c r="C233" s="30" t="str">
        <f t="shared" si="18"/>
        <v/>
      </c>
      <c r="D233" s="31"/>
      <c r="E233" s="31"/>
      <c r="F233" s="32"/>
      <c r="G233" s="33" t="str">
        <f t="shared" si="22"/>
        <v/>
      </c>
      <c r="H233" s="32" t="str">
        <f t="shared" si="19"/>
        <v/>
      </c>
      <c r="I233" s="44"/>
      <c r="J233" s="31" t="str">
        <f t="shared" si="20"/>
        <v/>
      </c>
      <c r="K233" s="34"/>
      <c r="L233" s="35"/>
      <c r="M233" s="34"/>
      <c r="N233" s="34"/>
      <c r="O233" s="2" t="str">
        <f t="shared" si="23"/>
        <v xml:space="preserve"> </v>
      </c>
    </row>
    <row r="234" spans="1:15" s="2" customFormat="1" x14ac:dyDescent="0.2">
      <c r="A234" s="28"/>
      <c r="B234" s="29"/>
      <c r="C234" s="30" t="str">
        <f t="shared" si="18"/>
        <v/>
      </c>
      <c r="D234" s="31"/>
      <c r="E234" s="31"/>
      <c r="F234" s="32"/>
      <c r="G234" s="33" t="str">
        <f t="shared" si="22"/>
        <v/>
      </c>
      <c r="H234" s="32" t="str">
        <f t="shared" si="19"/>
        <v/>
      </c>
      <c r="I234" s="44"/>
      <c r="J234" s="31" t="str">
        <f t="shared" si="20"/>
        <v/>
      </c>
      <c r="K234" s="34"/>
      <c r="L234" s="35"/>
      <c r="M234" s="34"/>
      <c r="N234" s="34"/>
      <c r="O234" s="2" t="str">
        <f t="shared" si="23"/>
        <v xml:space="preserve"> </v>
      </c>
    </row>
    <row r="235" spans="1:15" s="2" customFormat="1" x14ac:dyDescent="0.2">
      <c r="A235" s="28"/>
      <c r="B235" s="29"/>
      <c r="C235" s="30" t="str">
        <f t="shared" si="18"/>
        <v/>
      </c>
      <c r="D235" s="31"/>
      <c r="E235" s="31"/>
      <c r="F235" s="32"/>
      <c r="G235" s="33" t="str">
        <f t="shared" si="22"/>
        <v/>
      </c>
      <c r="H235" s="32" t="str">
        <f t="shared" si="19"/>
        <v/>
      </c>
      <c r="I235" s="44"/>
      <c r="J235" s="31" t="str">
        <f t="shared" si="20"/>
        <v/>
      </c>
      <c r="K235" s="34"/>
      <c r="L235" s="35"/>
      <c r="M235" s="34"/>
      <c r="N235" s="34"/>
      <c r="O235" s="2" t="str">
        <f t="shared" si="23"/>
        <v xml:space="preserve"> </v>
      </c>
    </row>
    <row r="236" spans="1:15" s="2" customFormat="1" x14ac:dyDescent="0.2">
      <c r="A236" s="28"/>
      <c r="B236" s="29"/>
      <c r="C236" s="30" t="str">
        <f t="shared" si="18"/>
        <v/>
      </c>
      <c r="D236" s="31"/>
      <c r="E236" s="31"/>
      <c r="F236" s="32"/>
      <c r="G236" s="33" t="str">
        <f t="shared" si="22"/>
        <v/>
      </c>
      <c r="H236" s="32" t="str">
        <f t="shared" si="19"/>
        <v/>
      </c>
      <c r="I236" s="44"/>
      <c r="J236" s="31" t="str">
        <f t="shared" si="20"/>
        <v/>
      </c>
      <c r="K236" s="34"/>
      <c r="L236" s="35"/>
      <c r="M236" s="34"/>
      <c r="N236" s="34"/>
      <c r="O236" s="2" t="str">
        <f t="shared" si="23"/>
        <v xml:space="preserve"> </v>
      </c>
    </row>
    <row r="237" spans="1:15" s="2" customFormat="1" x14ac:dyDescent="0.2">
      <c r="A237" s="28"/>
      <c r="B237" s="29"/>
      <c r="C237" s="30" t="str">
        <f t="shared" si="18"/>
        <v/>
      </c>
      <c r="D237" s="31"/>
      <c r="E237" s="31"/>
      <c r="F237" s="32"/>
      <c r="G237" s="33" t="str">
        <f t="shared" si="22"/>
        <v/>
      </c>
      <c r="H237" s="32" t="str">
        <f t="shared" si="19"/>
        <v/>
      </c>
      <c r="I237" s="44"/>
      <c r="J237" s="31" t="str">
        <f t="shared" si="20"/>
        <v/>
      </c>
      <c r="K237" s="34"/>
      <c r="L237" s="35"/>
      <c r="M237" s="34"/>
      <c r="N237" s="34"/>
      <c r="O237" s="2" t="str">
        <f t="shared" si="23"/>
        <v xml:space="preserve"> </v>
      </c>
    </row>
    <row r="238" spans="1:15" s="2" customFormat="1" x14ac:dyDescent="0.2">
      <c r="A238" s="28"/>
      <c r="B238" s="29"/>
      <c r="C238" s="30" t="str">
        <f t="shared" si="18"/>
        <v/>
      </c>
      <c r="D238" s="31"/>
      <c r="E238" s="31"/>
      <c r="F238" s="32"/>
      <c r="G238" s="33" t="str">
        <f t="shared" si="22"/>
        <v/>
      </c>
      <c r="H238" s="32" t="str">
        <f t="shared" si="19"/>
        <v/>
      </c>
      <c r="I238" s="44"/>
      <c r="J238" s="31" t="str">
        <f t="shared" si="20"/>
        <v/>
      </c>
      <c r="K238" s="34"/>
      <c r="L238" s="35"/>
      <c r="M238" s="34"/>
      <c r="N238" s="34"/>
      <c r="O238" s="2" t="str">
        <f t="shared" si="23"/>
        <v xml:space="preserve"> </v>
      </c>
    </row>
    <row r="239" spans="1:15" s="2" customFormat="1" x14ac:dyDescent="0.2">
      <c r="A239" s="28"/>
      <c r="B239" s="29"/>
      <c r="C239" s="30" t="str">
        <f t="shared" si="18"/>
        <v/>
      </c>
      <c r="D239" s="31"/>
      <c r="E239" s="31"/>
      <c r="F239" s="32"/>
      <c r="G239" s="33" t="str">
        <f t="shared" si="22"/>
        <v/>
      </c>
      <c r="H239" s="32" t="str">
        <f t="shared" si="19"/>
        <v/>
      </c>
      <c r="I239" s="44"/>
      <c r="J239" s="31" t="str">
        <f t="shared" si="20"/>
        <v/>
      </c>
      <c r="K239" s="34"/>
      <c r="L239" s="35"/>
      <c r="M239" s="34"/>
      <c r="N239" s="34"/>
      <c r="O239" s="2" t="str">
        <f t="shared" si="23"/>
        <v xml:space="preserve"> </v>
      </c>
    </row>
    <row r="240" spans="1:15" s="2" customFormat="1" x14ac:dyDescent="0.2">
      <c r="A240" s="28"/>
      <c r="B240" s="29"/>
      <c r="C240" s="30" t="str">
        <f t="shared" si="18"/>
        <v/>
      </c>
      <c r="D240" s="31"/>
      <c r="E240" s="31"/>
      <c r="F240" s="32"/>
      <c r="G240" s="33" t="str">
        <f t="shared" si="22"/>
        <v/>
      </c>
      <c r="H240" s="32" t="str">
        <f t="shared" si="19"/>
        <v/>
      </c>
      <c r="I240" s="44"/>
      <c r="J240" s="31" t="str">
        <f t="shared" si="20"/>
        <v/>
      </c>
      <c r="K240" s="34"/>
      <c r="L240" s="35"/>
      <c r="M240" s="34"/>
      <c r="N240" s="34"/>
      <c r="O240" s="2" t="str">
        <f t="shared" si="23"/>
        <v xml:space="preserve"> </v>
      </c>
    </row>
    <row r="241" spans="1:15" s="2" customFormat="1" x14ac:dyDescent="0.2">
      <c r="A241" s="28"/>
      <c r="B241" s="29"/>
      <c r="C241" s="30" t="str">
        <f t="shared" si="18"/>
        <v/>
      </c>
      <c r="D241" s="31"/>
      <c r="E241" s="31"/>
      <c r="F241" s="32"/>
      <c r="G241" s="33" t="str">
        <f t="shared" si="22"/>
        <v/>
      </c>
      <c r="H241" s="32" t="str">
        <f t="shared" si="19"/>
        <v/>
      </c>
      <c r="I241" s="44"/>
      <c r="J241" s="31" t="str">
        <f t="shared" si="20"/>
        <v/>
      </c>
      <c r="K241" s="34"/>
      <c r="L241" s="35"/>
      <c r="M241" s="34"/>
      <c r="N241" s="34"/>
      <c r="O241" s="2" t="str">
        <f t="shared" si="23"/>
        <v xml:space="preserve"> </v>
      </c>
    </row>
    <row r="242" spans="1:15" s="2" customFormat="1" x14ac:dyDescent="0.2">
      <c r="A242" s="28"/>
      <c r="B242" s="29"/>
      <c r="C242" s="30" t="str">
        <f t="shared" si="18"/>
        <v/>
      </c>
      <c r="D242" s="31"/>
      <c r="E242" s="31"/>
      <c r="F242" s="32"/>
      <c r="G242" s="33" t="str">
        <f t="shared" si="22"/>
        <v/>
      </c>
      <c r="H242" s="32" t="str">
        <f t="shared" si="19"/>
        <v/>
      </c>
      <c r="I242" s="44"/>
      <c r="J242" s="31" t="str">
        <f t="shared" si="20"/>
        <v/>
      </c>
      <c r="K242" s="34"/>
      <c r="L242" s="35"/>
      <c r="M242" s="34"/>
      <c r="N242" s="34"/>
      <c r="O242" s="2" t="str">
        <f t="shared" si="23"/>
        <v xml:space="preserve"> </v>
      </c>
    </row>
    <row r="243" spans="1:15" s="2" customFormat="1" x14ac:dyDescent="0.2">
      <c r="A243" s="28"/>
      <c r="B243" s="29"/>
      <c r="C243" s="30" t="str">
        <f t="shared" si="18"/>
        <v/>
      </c>
      <c r="D243" s="31"/>
      <c r="E243" s="31"/>
      <c r="F243" s="32"/>
      <c r="G243" s="33" t="str">
        <f t="shared" si="22"/>
        <v/>
      </c>
      <c r="H243" s="32" t="str">
        <f t="shared" si="19"/>
        <v/>
      </c>
      <c r="I243" s="44"/>
      <c r="J243" s="31" t="str">
        <f t="shared" si="20"/>
        <v/>
      </c>
      <c r="K243" s="34"/>
      <c r="L243" s="35"/>
      <c r="M243" s="34"/>
      <c r="N243" s="34"/>
      <c r="O243" s="2" t="str">
        <f t="shared" si="23"/>
        <v xml:space="preserve"> </v>
      </c>
    </row>
    <row r="244" spans="1:15" s="2" customFormat="1" x14ac:dyDescent="0.2">
      <c r="A244" s="28"/>
      <c r="B244" s="29"/>
      <c r="C244" s="30" t="str">
        <f t="shared" si="18"/>
        <v/>
      </c>
      <c r="D244" s="31"/>
      <c r="E244" s="31"/>
      <c r="F244" s="32"/>
      <c r="G244" s="33" t="str">
        <f t="shared" si="22"/>
        <v/>
      </c>
      <c r="H244" s="32" t="str">
        <f t="shared" si="19"/>
        <v/>
      </c>
      <c r="I244" s="44"/>
      <c r="J244" s="31" t="str">
        <f t="shared" si="20"/>
        <v/>
      </c>
      <c r="K244" s="34"/>
      <c r="L244" s="35"/>
      <c r="M244" s="34"/>
      <c r="N244" s="34"/>
      <c r="O244" s="2" t="str">
        <f t="shared" si="23"/>
        <v xml:space="preserve"> </v>
      </c>
    </row>
    <row r="245" spans="1:15" s="2" customFormat="1" x14ac:dyDescent="0.2">
      <c r="A245" s="28"/>
      <c r="B245" s="29"/>
      <c r="C245" s="30" t="str">
        <f t="shared" si="18"/>
        <v/>
      </c>
      <c r="D245" s="31"/>
      <c r="E245" s="31"/>
      <c r="F245" s="32"/>
      <c r="G245" s="33" t="str">
        <f t="shared" si="22"/>
        <v/>
      </c>
      <c r="H245" s="32" t="str">
        <f t="shared" si="19"/>
        <v/>
      </c>
      <c r="I245" s="44"/>
      <c r="J245" s="31" t="str">
        <f t="shared" si="20"/>
        <v/>
      </c>
      <c r="K245" s="34"/>
      <c r="L245" s="35"/>
      <c r="M245" s="34"/>
      <c r="N245" s="34"/>
      <c r="O245" s="2" t="str">
        <f t="shared" si="23"/>
        <v xml:space="preserve"> </v>
      </c>
    </row>
    <row r="246" spans="1:15" s="2" customFormat="1" x14ac:dyDescent="0.2">
      <c r="A246" s="28"/>
      <c r="B246" s="29"/>
      <c r="C246" s="30" t="str">
        <f t="shared" si="18"/>
        <v/>
      </c>
      <c r="D246" s="31"/>
      <c r="E246" s="31"/>
      <c r="F246" s="32"/>
      <c r="G246" s="33" t="str">
        <f t="shared" si="22"/>
        <v/>
      </c>
      <c r="H246" s="32" t="str">
        <f t="shared" si="19"/>
        <v/>
      </c>
      <c r="I246" s="44"/>
      <c r="J246" s="31" t="str">
        <f t="shared" si="20"/>
        <v/>
      </c>
      <c r="K246" s="34"/>
      <c r="L246" s="35"/>
      <c r="M246" s="34"/>
      <c r="N246" s="34"/>
      <c r="O246" s="2" t="str">
        <f t="shared" si="23"/>
        <v xml:space="preserve"> </v>
      </c>
    </row>
    <row r="247" spans="1:15" s="2" customFormat="1" x14ac:dyDescent="0.2">
      <c r="A247" s="28"/>
      <c r="B247" s="29"/>
      <c r="C247" s="30" t="str">
        <f t="shared" si="18"/>
        <v/>
      </c>
      <c r="D247" s="31"/>
      <c r="E247" s="31"/>
      <c r="F247" s="32"/>
      <c r="G247" s="33" t="str">
        <f t="shared" si="22"/>
        <v/>
      </c>
      <c r="H247" s="32" t="str">
        <f t="shared" si="19"/>
        <v/>
      </c>
      <c r="I247" s="44"/>
      <c r="J247" s="31" t="str">
        <f t="shared" si="20"/>
        <v/>
      </c>
      <c r="K247" s="34"/>
      <c r="L247" s="35"/>
      <c r="M247" s="34"/>
      <c r="N247" s="34"/>
      <c r="O247" s="2" t="str">
        <f t="shared" si="23"/>
        <v xml:space="preserve"> </v>
      </c>
    </row>
    <row r="248" spans="1:15" s="2" customFormat="1" x14ac:dyDescent="0.2">
      <c r="A248" s="28"/>
      <c r="B248" s="29"/>
      <c r="C248" s="30" t="str">
        <f t="shared" si="18"/>
        <v/>
      </c>
      <c r="D248" s="31"/>
      <c r="E248" s="31"/>
      <c r="F248" s="32"/>
      <c r="G248" s="33" t="str">
        <f t="shared" si="22"/>
        <v/>
      </c>
      <c r="H248" s="32" t="str">
        <f t="shared" si="19"/>
        <v/>
      </c>
      <c r="I248" s="44"/>
      <c r="J248" s="31" t="str">
        <f t="shared" si="20"/>
        <v/>
      </c>
      <c r="K248" s="34"/>
      <c r="L248" s="35"/>
      <c r="M248" s="34"/>
      <c r="N248" s="34"/>
      <c r="O248" s="2" t="str">
        <f t="shared" si="23"/>
        <v xml:space="preserve"> </v>
      </c>
    </row>
    <row r="249" spans="1:15" s="2" customFormat="1" x14ac:dyDescent="0.2">
      <c r="A249" s="28"/>
      <c r="B249" s="29"/>
      <c r="C249" s="30" t="str">
        <f t="shared" si="18"/>
        <v/>
      </c>
      <c r="D249" s="31"/>
      <c r="E249" s="31"/>
      <c r="F249" s="32"/>
      <c r="G249" s="33" t="str">
        <f t="shared" si="22"/>
        <v/>
      </c>
      <c r="H249" s="32" t="str">
        <f t="shared" si="19"/>
        <v/>
      </c>
      <c r="I249" s="44"/>
      <c r="J249" s="31" t="str">
        <f t="shared" si="20"/>
        <v/>
      </c>
      <c r="K249" s="34"/>
      <c r="L249" s="35"/>
      <c r="M249" s="34"/>
      <c r="N249" s="34"/>
      <c r="O249" s="2" t="str">
        <f t="shared" si="23"/>
        <v xml:space="preserve"> </v>
      </c>
    </row>
    <row r="250" spans="1:15" s="2" customFormat="1" x14ac:dyDescent="0.2">
      <c r="A250" s="28"/>
      <c r="B250" s="29"/>
      <c r="C250" s="30" t="str">
        <f t="shared" si="18"/>
        <v/>
      </c>
      <c r="D250" s="31"/>
      <c r="E250" s="31"/>
      <c r="F250" s="32"/>
      <c r="G250" s="33" t="str">
        <f t="shared" si="22"/>
        <v/>
      </c>
      <c r="H250" s="32" t="str">
        <f t="shared" si="19"/>
        <v/>
      </c>
      <c r="I250" s="44"/>
      <c r="J250" s="31" t="str">
        <f t="shared" si="20"/>
        <v/>
      </c>
      <c r="K250" s="34"/>
      <c r="L250" s="35"/>
      <c r="M250" s="34"/>
      <c r="N250" s="34"/>
      <c r="O250" s="2" t="str">
        <f t="shared" si="23"/>
        <v xml:space="preserve"> </v>
      </c>
    </row>
    <row r="251" spans="1:15" s="2" customFormat="1" x14ac:dyDescent="0.2">
      <c r="A251" s="28"/>
      <c r="B251" s="29"/>
      <c r="C251" s="30" t="str">
        <f t="shared" si="18"/>
        <v/>
      </c>
      <c r="D251" s="31"/>
      <c r="E251" s="31"/>
      <c r="F251" s="32"/>
      <c r="G251" s="33" t="str">
        <f t="shared" si="22"/>
        <v/>
      </c>
      <c r="H251" s="32" t="str">
        <f t="shared" si="19"/>
        <v/>
      </c>
      <c r="I251" s="44"/>
      <c r="J251" s="31" t="str">
        <f t="shared" si="20"/>
        <v/>
      </c>
      <c r="K251" s="34"/>
      <c r="L251" s="35"/>
      <c r="M251" s="34"/>
      <c r="N251" s="34"/>
      <c r="O251" s="2" t="str">
        <f t="shared" si="23"/>
        <v xml:space="preserve"> </v>
      </c>
    </row>
    <row r="252" spans="1:15" s="2" customFormat="1" x14ac:dyDescent="0.2">
      <c r="A252" s="28"/>
      <c r="B252" s="29"/>
      <c r="C252" s="30" t="str">
        <f t="shared" si="18"/>
        <v/>
      </c>
      <c r="D252" s="31"/>
      <c r="E252" s="31"/>
      <c r="F252" s="32"/>
      <c r="G252" s="33" t="str">
        <f t="shared" si="22"/>
        <v/>
      </c>
      <c r="H252" s="32" t="str">
        <f t="shared" si="19"/>
        <v/>
      </c>
      <c r="I252" s="44"/>
      <c r="J252" s="31" t="str">
        <f t="shared" si="20"/>
        <v/>
      </c>
      <c r="K252" s="34"/>
      <c r="L252" s="35"/>
      <c r="M252" s="34"/>
      <c r="N252" s="34"/>
      <c r="O252" s="2" t="str">
        <f t="shared" si="23"/>
        <v xml:space="preserve"> </v>
      </c>
    </row>
    <row r="253" spans="1:15" s="2" customFormat="1" x14ac:dyDescent="0.2">
      <c r="A253" s="28"/>
      <c r="B253" s="29"/>
      <c r="C253" s="30" t="str">
        <f t="shared" si="18"/>
        <v/>
      </c>
      <c r="D253" s="31"/>
      <c r="E253" s="31"/>
      <c r="F253" s="32"/>
      <c r="G253" s="33" t="str">
        <f t="shared" si="22"/>
        <v/>
      </c>
      <c r="H253" s="32" t="str">
        <f t="shared" si="19"/>
        <v/>
      </c>
      <c r="I253" s="44"/>
      <c r="J253" s="31" t="str">
        <f t="shared" si="20"/>
        <v/>
      </c>
      <c r="K253" s="34"/>
      <c r="L253" s="35"/>
      <c r="M253" s="34"/>
      <c r="N253" s="34"/>
      <c r="O253" s="2" t="str">
        <f t="shared" si="23"/>
        <v xml:space="preserve"> </v>
      </c>
    </row>
    <row r="254" spans="1:15" s="2" customFormat="1" x14ac:dyDescent="0.2">
      <c r="A254" s="28"/>
      <c r="B254" s="29"/>
      <c r="C254" s="30" t="str">
        <f t="shared" si="18"/>
        <v/>
      </c>
      <c r="D254" s="31"/>
      <c r="E254" s="31"/>
      <c r="F254" s="32"/>
      <c r="G254" s="33" t="str">
        <f t="shared" si="22"/>
        <v/>
      </c>
      <c r="H254" s="32" t="str">
        <f t="shared" si="19"/>
        <v/>
      </c>
      <c r="I254" s="44"/>
      <c r="J254" s="31" t="str">
        <f t="shared" si="20"/>
        <v/>
      </c>
      <c r="K254" s="34"/>
      <c r="L254" s="35"/>
      <c r="M254" s="34"/>
      <c r="N254" s="34"/>
      <c r="O254" s="2" t="str">
        <f t="shared" si="23"/>
        <v xml:space="preserve"> </v>
      </c>
    </row>
    <row r="255" spans="1:15" s="2" customFormat="1" x14ac:dyDescent="0.2">
      <c r="A255" s="28"/>
      <c r="B255" s="29"/>
      <c r="C255" s="30" t="str">
        <f t="shared" si="18"/>
        <v/>
      </c>
      <c r="D255" s="31"/>
      <c r="E255" s="31"/>
      <c r="F255" s="32"/>
      <c r="G255" s="33" t="str">
        <f t="shared" si="22"/>
        <v/>
      </c>
      <c r="H255" s="32" t="str">
        <f t="shared" si="19"/>
        <v/>
      </c>
      <c r="I255" s="44"/>
      <c r="J255" s="31" t="str">
        <f t="shared" si="20"/>
        <v/>
      </c>
      <c r="K255" s="34"/>
      <c r="L255" s="35"/>
      <c r="M255" s="34"/>
      <c r="N255" s="34"/>
      <c r="O255" s="2" t="str">
        <f t="shared" si="23"/>
        <v xml:space="preserve"> </v>
      </c>
    </row>
    <row r="256" spans="1:15" s="2" customFormat="1" x14ac:dyDescent="0.2">
      <c r="A256" s="28"/>
      <c r="B256" s="29"/>
      <c r="C256" s="30" t="str">
        <f t="shared" si="18"/>
        <v/>
      </c>
      <c r="D256" s="31"/>
      <c r="E256" s="31"/>
      <c r="F256" s="32"/>
      <c r="G256" s="33" t="str">
        <f t="shared" si="22"/>
        <v/>
      </c>
      <c r="H256" s="32" t="str">
        <f t="shared" si="19"/>
        <v/>
      </c>
      <c r="I256" s="44"/>
      <c r="J256" s="31" t="str">
        <f t="shared" si="20"/>
        <v/>
      </c>
      <c r="K256" s="34"/>
      <c r="L256" s="35"/>
      <c r="M256" s="34"/>
      <c r="N256" s="34"/>
      <c r="O256" s="2" t="str">
        <f t="shared" si="23"/>
        <v xml:space="preserve"> </v>
      </c>
    </row>
    <row r="257" spans="1:15" s="2" customFormat="1" x14ac:dyDescent="0.2">
      <c r="A257" s="28"/>
      <c r="B257" s="29"/>
      <c r="C257" s="30" t="str">
        <f t="shared" si="18"/>
        <v/>
      </c>
      <c r="D257" s="31"/>
      <c r="E257" s="31"/>
      <c r="F257" s="32"/>
      <c r="G257" s="33" t="str">
        <f t="shared" si="22"/>
        <v/>
      </c>
      <c r="H257" s="32" t="str">
        <f t="shared" si="19"/>
        <v/>
      </c>
      <c r="I257" s="44"/>
      <c r="J257" s="31" t="str">
        <f t="shared" si="20"/>
        <v/>
      </c>
      <c r="K257" s="34"/>
      <c r="L257" s="35"/>
      <c r="M257" s="34"/>
      <c r="N257" s="34"/>
      <c r="O257" s="2" t="str">
        <f t="shared" si="23"/>
        <v xml:space="preserve"> </v>
      </c>
    </row>
    <row r="258" spans="1:15" s="2" customFormat="1" x14ac:dyDescent="0.2">
      <c r="A258" s="28"/>
      <c r="B258" s="29"/>
      <c r="C258" s="30" t="str">
        <f t="shared" si="18"/>
        <v/>
      </c>
      <c r="D258" s="31"/>
      <c r="E258" s="31"/>
      <c r="F258" s="32"/>
      <c r="G258" s="33" t="str">
        <f t="shared" si="22"/>
        <v/>
      </c>
      <c r="H258" s="32" t="str">
        <f t="shared" si="19"/>
        <v/>
      </c>
      <c r="I258" s="44"/>
      <c r="J258" s="31" t="str">
        <f t="shared" si="20"/>
        <v/>
      </c>
      <c r="K258" s="34"/>
      <c r="L258" s="35"/>
      <c r="M258" s="34"/>
      <c r="N258" s="34"/>
      <c r="O258" s="2" t="str">
        <f t="shared" si="23"/>
        <v xml:space="preserve"> </v>
      </c>
    </row>
    <row r="259" spans="1:15" s="2" customFormat="1" x14ac:dyDescent="0.2">
      <c r="A259" s="28"/>
      <c r="B259" s="29"/>
      <c r="C259" s="30" t="str">
        <f t="shared" si="18"/>
        <v/>
      </c>
      <c r="D259" s="31"/>
      <c r="E259" s="31"/>
      <c r="F259" s="32"/>
      <c r="G259" s="33" t="str">
        <f t="shared" si="22"/>
        <v/>
      </c>
      <c r="H259" s="32" t="str">
        <f t="shared" si="19"/>
        <v/>
      </c>
      <c r="I259" s="44"/>
      <c r="J259" s="31" t="str">
        <f t="shared" si="20"/>
        <v/>
      </c>
      <c r="K259" s="34"/>
      <c r="L259" s="35"/>
      <c r="M259" s="34"/>
      <c r="N259" s="34"/>
      <c r="O259" s="2" t="str">
        <f t="shared" si="23"/>
        <v xml:space="preserve"> </v>
      </c>
    </row>
    <row r="260" spans="1:15" s="2" customFormat="1" x14ac:dyDescent="0.2">
      <c r="A260" s="28"/>
      <c r="B260" s="29"/>
      <c r="C260" s="30" t="str">
        <f t="shared" si="18"/>
        <v/>
      </c>
      <c r="D260" s="31"/>
      <c r="E260" s="31"/>
      <c r="F260" s="32"/>
      <c r="G260" s="33" t="str">
        <f t="shared" si="22"/>
        <v/>
      </c>
      <c r="H260" s="32" t="str">
        <f t="shared" si="19"/>
        <v/>
      </c>
      <c r="I260" s="44"/>
      <c r="J260" s="31" t="str">
        <f t="shared" si="20"/>
        <v/>
      </c>
      <c r="K260" s="34"/>
      <c r="L260" s="35"/>
      <c r="M260" s="34"/>
      <c r="N260" s="34"/>
      <c r="O260" s="2" t="str">
        <f t="shared" si="23"/>
        <v xml:space="preserve"> </v>
      </c>
    </row>
    <row r="261" spans="1:15" s="2" customFormat="1" x14ac:dyDescent="0.2">
      <c r="A261" s="28"/>
      <c r="B261" s="29"/>
      <c r="C261" s="30" t="str">
        <f t="shared" si="18"/>
        <v/>
      </c>
      <c r="D261" s="31"/>
      <c r="E261" s="31"/>
      <c r="F261" s="32"/>
      <c r="G261" s="33" t="str">
        <f t="shared" si="22"/>
        <v/>
      </c>
      <c r="H261" s="32" t="str">
        <f t="shared" si="19"/>
        <v/>
      </c>
      <c r="I261" s="44"/>
      <c r="J261" s="31" t="str">
        <f t="shared" si="20"/>
        <v/>
      </c>
      <c r="K261" s="34"/>
      <c r="L261" s="35"/>
      <c r="M261" s="34"/>
      <c r="N261" s="34"/>
      <c r="O261" s="2" t="str">
        <f t="shared" si="23"/>
        <v xml:space="preserve"> </v>
      </c>
    </row>
    <row r="262" spans="1:15" s="2" customFormat="1" x14ac:dyDescent="0.2">
      <c r="A262" s="28"/>
      <c r="B262" s="29"/>
      <c r="C262" s="30" t="str">
        <f t="shared" si="18"/>
        <v/>
      </c>
      <c r="D262" s="31"/>
      <c r="E262" s="31"/>
      <c r="F262" s="32"/>
      <c r="G262" s="33" t="str">
        <f t="shared" si="22"/>
        <v/>
      </c>
      <c r="H262" s="32" t="str">
        <f t="shared" si="19"/>
        <v/>
      </c>
      <c r="I262" s="44"/>
      <c r="J262" s="31" t="str">
        <f t="shared" si="20"/>
        <v/>
      </c>
      <c r="K262" s="34"/>
      <c r="L262" s="35"/>
      <c r="M262" s="34"/>
      <c r="N262" s="34"/>
      <c r="O262" s="2" t="str">
        <f t="shared" si="23"/>
        <v xml:space="preserve"> </v>
      </c>
    </row>
    <row r="263" spans="1:15" s="2" customFormat="1" x14ac:dyDescent="0.2">
      <c r="A263" s="28"/>
      <c r="B263" s="29"/>
      <c r="C263" s="30" t="str">
        <f t="shared" si="18"/>
        <v/>
      </c>
      <c r="D263" s="31"/>
      <c r="E263" s="31"/>
      <c r="F263" s="32"/>
      <c r="G263" s="33" t="str">
        <f t="shared" si="22"/>
        <v/>
      </c>
      <c r="H263" s="32" t="str">
        <f t="shared" ref="H263:H326" si="24">IF(F263&lt;&gt;"",ABS(F263),"")</f>
        <v/>
      </c>
      <c r="I263" s="44"/>
      <c r="J263" s="31" t="str">
        <f t="shared" ref="J263:J326" si="25">IF(F263=0,"",IF(F263&lt;0,"PAGAMENTO","RECEBIMENTO"))</f>
        <v/>
      </c>
      <c r="K263" s="34"/>
      <c r="L263" s="35"/>
      <c r="M263" s="34"/>
      <c r="N263" s="34"/>
      <c r="O263" s="2" t="str">
        <f t="shared" si="23"/>
        <v xml:space="preserve"> </v>
      </c>
    </row>
    <row r="264" spans="1:15" s="2" customFormat="1" x14ac:dyDescent="0.2">
      <c r="A264" s="28"/>
      <c r="B264" s="29"/>
      <c r="C264" s="30" t="str">
        <f t="shared" ref="C264:C330" si="26">IF(B264="","",TEXT(DAY(B264),"00")&amp;"/"&amp;TEXT(MONTH(B264),"00"))</f>
        <v/>
      </c>
      <c r="D264" s="31"/>
      <c r="E264" s="31"/>
      <c r="F264" s="32"/>
      <c r="G264" s="33" t="str">
        <f t="shared" si="22"/>
        <v/>
      </c>
      <c r="H264" s="32" t="str">
        <f t="shared" si="24"/>
        <v/>
      </c>
      <c r="I264" s="44"/>
      <c r="J264" s="31" t="str">
        <f t="shared" si="25"/>
        <v/>
      </c>
      <c r="K264" s="34"/>
      <c r="L264" s="35"/>
      <c r="M264" s="34"/>
      <c r="N264" s="34"/>
      <c r="O264" s="2" t="str">
        <f t="shared" si="23"/>
        <v xml:space="preserve"> </v>
      </c>
    </row>
    <row r="265" spans="1:15" s="2" customFormat="1" x14ac:dyDescent="0.2">
      <c r="A265" s="28"/>
      <c r="B265" s="29"/>
      <c r="C265" s="30" t="str">
        <f t="shared" si="26"/>
        <v/>
      </c>
      <c r="D265" s="31"/>
      <c r="E265" s="31"/>
      <c r="F265" s="32"/>
      <c r="G265" s="33" t="str">
        <f t="shared" si="22"/>
        <v/>
      </c>
      <c r="H265" s="32" t="str">
        <f t="shared" si="24"/>
        <v/>
      </c>
      <c r="I265" s="44"/>
      <c r="J265" s="31" t="str">
        <f t="shared" si="25"/>
        <v/>
      </c>
      <c r="K265" s="34"/>
      <c r="L265" s="35"/>
      <c r="M265" s="34"/>
      <c r="N265" s="34"/>
      <c r="O265" s="2" t="str">
        <f t="shared" si="23"/>
        <v xml:space="preserve"> </v>
      </c>
    </row>
    <row r="266" spans="1:15" s="2" customFormat="1" x14ac:dyDescent="0.2">
      <c r="A266" s="28"/>
      <c r="B266" s="29"/>
      <c r="C266" s="30" t="str">
        <f t="shared" si="26"/>
        <v/>
      </c>
      <c r="D266" s="31"/>
      <c r="E266" s="31"/>
      <c r="F266" s="32"/>
      <c r="G266" s="33" t="str">
        <f t="shared" ref="G266:G332" si="27">IF(F266&lt;&gt;"",F266+G265,"")</f>
        <v/>
      </c>
      <c r="H266" s="32" t="str">
        <f t="shared" si="24"/>
        <v/>
      </c>
      <c r="I266" s="44"/>
      <c r="J266" s="31" t="str">
        <f t="shared" si="25"/>
        <v/>
      </c>
      <c r="K266" s="34"/>
      <c r="L266" s="35"/>
      <c r="M266" s="34"/>
      <c r="N266" s="34"/>
      <c r="O266" s="2" t="str">
        <f t="shared" si="23"/>
        <v xml:space="preserve"> </v>
      </c>
    </row>
    <row r="267" spans="1:15" s="2" customFormat="1" x14ac:dyDescent="0.2">
      <c r="A267" s="28"/>
      <c r="B267" s="29"/>
      <c r="C267" s="30" t="str">
        <f t="shared" si="26"/>
        <v/>
      </c>
      <c r="D267" s="31"/>
      <c r="E267" s="31"/>
      <c r="F267" s="32"/>
      <c r="G267" s="33" t="str">
        <f t="shared" si="27"/>
        <v/>
      </c>
      <c r="H267" s="32" t="str">
        <f t="shared" si="24"/>
        <v/>
      </c>
      <c r="I267" s="44"/>
      <c r="J267" s="31" t="str">
        <f t="shared" si="25"/>
        <v/>
      </c>
      <c r="K267" s="34"/>
      <c r="L267" s="35"/>
      <c r="M267" s="34"/>
      <c r="N267" s="34"/>
      <c r="O267" s="2" t="str">
        <f t="shared" si="23"/>
        <v xml:space="preserve"> </v>
      </c>
    </row>
    <row r="268" spans="1:15" s="2" customFormat="1" x14ac:dyDescent="0.2">
      <c r="A268" s="28"/>
      <c r="B268" s="29"/>
      <c r="C268" s="30" t="str">
        <f t="shared" si="26"/>
        <v/>
      </c>
      <c r="D268" s="31"/>
      <c r="E268" s="31"/>
      <c r="F268" s="32"/>
      <c r="G268" s="38" t="str">
        <f t="shared" si="27"/>
        <v/>
      </c>
      <c r="H268" s="32" t="str">
        <f t="shared" si="24"/>
        <v/>
      </c>
      <c r="I268" s="44"/>
      <c r="J268" s="31" t="str">
        <f t="shared" si="25"/>
        <v/>
      </c>
      <c r="K268" s="34"/>
      <c r="L268" s="35"/>
      <c r="M268" s="34"/>
      <c r="N268" s="34"/>
      <c r="O268" s="2" t="str">
        <f t="shared" si="23"/>
        <v xml:space="preserve"> </v>
      </c>
    </row>
    <row r="269" spans="1:15" s="2" customFormat="1" x14ac:dyDescent="0.2">
      <c r="A269" s="28"/>
      <c r="B269" s="29"/>
      <c r="C269" s="30" t="str">
        <f t="shared" si="26"/>
        <v/>
      </c>
      <c r="D269" s="31"/>
      <c r="E269" s="31"/>
      <c r="F269" s="32"/>
      <c r="G269" s="33" t="str">
        <f t="shared" si="27"/>
        <v/>
      </c>
      <c r="H269" s="32" t="str">
        <f t="shared" si="24"/>
        <v/>
      </c>
      <c r="I269" s="44"/>
      <c r="J269" s="31" t="str">
        <f t="shared" si="25"/>
        <v/>
      </c>
      <c r="K269" s="34"/>
      <c r="L269" s="35"/>
      <c r="M269" s="34"/>
      <c r="N269" s="34"/>
      <c r="O269" s="2" t="str">
        <f t="shared" si="23"/>
        <v xml:space="preserve"> </v>
      </c>
    </row>
    <row r="270" spans="1:15" s="2" customFormat="1" x14ac:dyDescent="0.2">
      <c r="A270" s="28"/>
      <c r="B270" s="29"/>
      <c r="C270" s="30" t="str">
        <f t="shared" si="26"/>
        <v/>
      </c>
      <c r="D270" s="31"/>
      <c r="E270" s="31"/>
      <c r="F270" s="32"/>
      <c r="G270" s="33" t="str">
        <f t="shared" si="27"/>
        <v/>
      </c>
      <c r="H270" s="32" t="str">
        <f t="shared" si="24"/>
        <v/>
      </c>
      <c r="I270" s="44"/>
      <c r="J270" s="31" t="str">
        <f t="shared" si="25"/>
        <v/>
      </c>
      <c r="K270" s="34"/>
      <c r="L270" s="35"/>
      <c r="M270" s="34"/>
      <c r="N270" s="34"/>
      <c r="O270" s="2" t="str">
        <f t="shared" si="23"/>
        <v xml:space="preserve"> </v>
      </c>
    </row>
    <row r="271" spans="1:15" s="2" customFormat="1" x14ac:dyDescent="0.2">
      <c r="A271" s="28"/>
      <c r="B271" s="29"/>
      <c r="C271" s="30" t="str">
        <f t="shared" si="26"/>
        <v/>
      </c>
      <c r="D271" s="31"/>
      <c r="E271" s="31"/>
      <c r="F271" s="32"/>
      <c r="G271" s="33" t="str">
        <f t="shared" si="27"/>
        <v/>
      </c>
      <c r="H271" s="32" t="str">
        <f t="shared" si="24"/>
        <v/>
      </c>
      <c r="I271" s="44"/>
      <c r="J271" s="31" t="str">
        <f t="shared" si="25"/>
        <v/>
      </c>
      <c r="K271" s="34"/>
      <c r="L271" s="35"/>
      <c r="M271" s="34"/>
      <c r="N271" s="34"/>
      <c r="O271" s="2" t="str">
        <f t="shared" si="23"/>
        <v xml:space="preserve"> </v>
      </c>
    </row>
    <row r="272" spans="1:15" s="2" customFormat="1" x14ac:dyDescent="0.2">
      <c r="A272" s="28"/>
      <c r="B272" s="29"/>
      <c r="C272" s="30" t="str">
        <f t="shared" si="26"/>
        <v/>
      </c>
      <c r="D272" s="31"/>
      <c r="E272" s="31"/>
      <c r="F272" s="32"/>
      <c r="G272" s="33" t="str">
        <f t="shared" si="27"/>
        <v/>
      </c>
      <c r="H272" s="32" t="str">
        <f t="shared" si="24"/>
        <v/>
      </c>
      <c r="I272" s="44"/>
      <c r="J272" s="31" t="str">
        <f t="shared" si="25"/>
        <v/>
      </c>
      <c r="K272" s="34"/>
      <c r="L272" s="35"/>
      <c r="M272" s="34"/>
      <c r="N272" s="34"/>
      <c r="O272" s="2" t="str">
        <f t="shared" si="23"/>
        <v xml:space="preserve"> </v>
      </c>
    </row>
    <row r="273" spans="1:15" s="2" customFormat="1" x14ac:dyDescent="0.2">
      <c r="A273" s="28"/>
      <c r="B273" s="29"/>
      <c r="C273" s="30" t="str">
        <f t="shared" si="26"/>
        <v/>
      </c>
      <c r="D273" s="31"/>
      <c r="E273" s="31"/>
      <c r="F273" s="32"/>
      <c r="G273" s="33" t="str">
        <f t="shared" si="27"/>
        <v/>
      </c>
      <c r="H273" s="32" t="str">
        <f t="shared" si="24"/>
        <v/>
      </c>
      <c r="I273" s="44"/>
      <c r="J273" s="31" t="str">
        <f t="shared" si="25"/>
        <v/>
      </c>
      <c r="K273" s="34"/>
      <c r="L273" s="35"/>
      <c r="M273" s="34"/>
      <c r="N273" s="34"/>
      <c r="O273" s="2" t="str">
        <f t="shared" si="23"/>
        <v xml:space="preserve"> </v>
      </c>
    </row>
    <row r="274" spans="1:15" s="2" customFormat="1" x14ac:dyDescent="0.2">
      <c r="A274" s="28"/>
      <c r="B274" s="29"/>
      <c r="C274" s="30" t="str">
        <f t="shared" si="26"/>
        <v/>
      </c>
      <c r="D274" s="31"/>
      <c r="E274" s="31"/>
      <c r="F274" s="32"/>
      <c r="G274" s="33" t="str">
        <f t="shared" si="27"/>
        <v/>
      </c>
      <c r="H274" s="32" t="str">
        <f t="shared" si="24"/>
        <v/>
      </c>
      <c r="I274" s="44"/>
      <c r="J274" s="31" t="str">
        <f t="shared" si="25"/>
        <v/>
      </c>
      <c r="K274" s="34"/>
      <c r="L274" s="35"/>
      <c r="M274" s="34"/>
      <c r="N274" s="34"/>
      <c r="O274" s="2" t="str">
        <f t="shared" si="23"/>
        <v xml:space="preserve"> </v>
      </c>
    </row>
    <row r="275" spans="1:15" s="2" customFormat="1" x14ac:dyDescent="0.2">
      <c r="A275" s="28"/>
      <c r="B275" s="29"/>
      <c r="C275" s="30" t="str">
        <f t="shared" si="26"/>
        <v/>
      </c>
      <c r="D275" s="31"/>
      <c r="E275" s="31"/>
      <c r="F275" s="32"/>
      <c r="G275" s="33" t="str">
        <f t="shared" si="27"/>
        <v/>
      </c>
      <c r="H275" s="32" t="str">
        <f t="shared" si="24"/>
        <v/>
      </c>
      <c r="I275" s="44"/>
      <c r="J275" s="31" t="str">
        <f t="shared" si="25"/>
        <v/>
      </c>
      <c r="K275" s="34"/>
      <c r="L275" s="35"/>
      <c r="M275" s="34"/>
      <c r="N275" s="34"/>
      <c r="O275" s="2" t="str">
        <f t="shared" si="23"/>
        <v xml:space="preserve"> </v>
      </c>
    </row>
    <row r="276" spans="1:15" s="2" customFormat="1" x14ac:dyDescent="0.2">
      <c r="A276" s="28"/>
      <c r="B276" s="29"/>
      <c r="C276" s="30" t="str">
        <f t="shared" si="26"/>
        <v/>
      </c>
      <c r="D276" s="31"/>
      <c r="E276" s="31"/>
      <c r="F276" s="32"/>
      <c r="G276" s="33" t="str">
        <f t="shared" si="27"/>
        <v/>
      </c>
      <c r="H276" s="32" t="str">
        <f t="shared" si="24"/>
        <v/>
      </c>
      <c r="I276" s="44"/>
      <c r="J276" s="31" t="str">
        <f t="shared" si="25"/>
        <v/>
      </c>
      <c r="K276" s="34"/>
      <c r="L276" s="35"/>
      <c r="M276" s="34"/>
      <c r="N276" s="34"/>
      <c r="O276" s="2" t="str">
        <f t="shared" si="23"/>
        <v xml:space="preserve"> </v>
      </c>
    </row>
    <row r="277" spans="1:15" s="2" customFormat="1" x14ac:dyDescent="0.2">
      <c r="A277" s="28"/>
      <c r="B277" s="29"/>
      <c r="C277" s="30" t="str">
        <f t="shared" si="26"/>
        <v/>
      </c>
      <c r="D277" s="31"/>
      <c r="E277" s="31"/>
      <c r="F277" s="32"/>
      <c r="G277" s="33" t="str">
        <f t="shared" si="27"/>
        <v/>
      </c>
      <c r="H277" s="32" t="str">
        <f t="shared" si="24"/>
        <v/>
      </c>
      <c r="I277" s="44"/>
      <c r="J277" s="31" t="str">
        <f t="shared" si="25"/>
        <v/>
      </c>
      <c r="K277" s="34"/>
      <c r="L277" s="35"/>
      <c r="M277" s="34"/>
      <c r="N277" s="34"/>
      <c r="O277" s="2" t="str">
        <f t="shared" si="23"/>
        <v xml:space="preserve"> </v>
      </c>
    </row>
    <row r="278" spans="1:15" s="2" customFormat="1" x14ac:dyDescent="0.2">
      <c r="A278" s="28"/>
      <c r="B278" s="29"/>
      <c r="C278" s="30" t="str">
        <f t="shared" si="26"/>
        <v/>
      </c>
      <c r="D278" s="31"/>
      <c r="E278" s="31"/>
      <c r="F278" s="32"/>
      <c r="G278" s="33" t="str">
        <f t="shared" si="27"/>
        <v/>
      </c>
      <c r="H278" s="32" t="str">
        <f t="shared" si="24"/>
        <v/>
      </c>
      <c r="I278" s="44"/>
      <c r="J278" s="31" t="str">
        <f t="shared" si="25"/>
        <v/>
      </c>
      <c r="K278" s="34"/>
      <c r="L278" s="35"/>
      <c r="M278" s="34"/>
      <c r="N278" s="34"/>
      <c r="O278" s="2" t="str">
        <f t="shared" si="23"/>
        <v xml:space="preserve"> </v>
      </c>
    </row>
    <row r="279" spans="1:15" s="2" customFormat="1" x14ac:dyDescent="0.2">
      <c r="A279" s="28"/>
      <c r="B279" s="29"/>
      <c r="C279" s="30" t="str">
        <f t="shared" si="26"/>
        <v/>
      </c>
      <c r="D279" s="31"/>
      <c r="E279" s="31"/>
      <c r="F279" s="32"/>
      <c r="G279" s="33" t="str">
        <f t="shared" si="27"/>
        <v/>
      </c>
      <c r="H279" s="32" t="str">
        <f t="shared" si="24"/>
        <v/>
      </c>
      <c r="I279" s="44"/>
      <c r="J279" s="31" t="str">
        <f t="shared" si="25"/>
        <v/>
      </c>
      <c r="K279" s="34"/>
      <c r="L279" s="35"/>
      <c r="M279" s="34"/>
      <c r="N279" s="34"/>
      <c r="O279" s="2" t="str">
        <f t="shared" ref="O279:O313" si="28">CONCATENATE(K279," ",N279)</f>
        <v xml:space="preserve"> </v>
      </c>
    </row>
    <row r="280" spans="1:15" s="2" customFormat="1" x14ac:dyDescent="0.2">
      <c r="A280" s="28"/>
      <c r="B280" s="29"/>
      <c r="C280" s="30" t="str">
        <f t="shared" si="26"/>
        <v/>
      </c>
      <c r="D280" s="31"/>
      <c r="E280" s="31"/>
      <c r="F280" s="32"/>
      <c r="G280" s="33" t="str">
        <f t="shared" si="27"/>
        <v/>
      </c>
      <c r="H280" s="32" t="str">
        <f t="shared" si="24"/>
        <v/>
      </c>
      <c r="I280" s="44"/>
      <c r="J280" s="31" t="str">
        <f t="shared" si="25"/>
        <v/>
      </c>
      <c r="K280" s="34"/>
      <c r="L280" s="35"/>
      <c r="M280" s="34"/>
      <c r="N280" s="34"/>
      <c r="O280" s="2" t="str">
        <f t="shared" si="28"/>
        <v xml:space="preserve"> </v>
      </c>
    </row>
    <row r="281" spans="1:15" s="2" customFormat="1" x14ac:dyDescent="0.2">
      <c r="A281" s="28"/>
      <c r="B281" s="29"/>
      <c r="C281" s="30" t="str">
        <f t="shared" si="26"/>
        <v/>
      </c>
      <c r="D281" s="31"/>
      <c r="E281" s="31"/>
      <c r="F281" s="32"/>
      <c r="G281" s="33" t="str">
        <f t="shared" si="27"/>
        <v/>
      </c>
      <c r="H281" s="32" t="str">
        <f t="shared" si="24"/>
        <v/>
      </c>
      <c r="I281" s="44"/>
      <c r="J281" s="31" t="str">
        <f t="shared" si="25"/>
        <v/>
      </c>
      <c r="K281" s="34"/>
      <c r="L281" s="35"/>
      <c r="M281" s="34"/>
      <c r="N281" s="34"/>
      <c r="O281" s="2" t="str">
        <f t="shared" si="28"/>
        <v xml:space="preserve"> </v>
      </c>
    </row>
    <row r="282" spans="1:15" s="2" customFormat="1" x14ac:dyDescent="0.2">
      <c r="A282" s="28"/>
      <c r="B282" s="29"/>
      <c r="C282" s="30" t="str">
        <f t="shared" si="26"/>
        <v/>
      </c>
      <c r="D282" s="31"/>
      <c r="E282" s="31"/>
      <c r="F282" s="32"/>
      <c r="G282" s="33" t="str">
        <f t="shared" si="27"/>
        <v/>
      </c>
      <c r="H282" s="32" t="str">
        <f t="shared" si="24"/>
        <v/>
      </c>
      <c r="I282" s="44"/>
      <c r="J282" s="31" t="str">
        <f t="shared" si="25"/>
        <v/>
      </c>
      <c r="K282" s="34"/>
      <c r="L282" s="35"/>
      <c r="M282" s="34"/>
      <c r="N282" s="34"/>
      <c r="O282" s="2" t="str">
        <f t="shared" si="28"/>
        <v xml:space="preserve"> </v>
      </c>
    </row>
    <row r="283" spans="1:15" s="2" customFormat="1" x14ac:dyDescent="0.2">
      <c r="A283" s="28"/>
      <c r="B283" s="29"/>
      <c r="C283" s="30" t="str">
        <f t="shared" si="26"/>
        <v/>
      </c>
      <c r="D283" s="31"/>
      <c r="E283" s="31"/>
      <c r="F283" s="32"/>
      <c r="G283" s="33" t="str">
        <f t="shared" si="27"/>
        <v/>
      </c>
      <c r="H283" s="32" t="str">
        <f t="shared" si="24"/>
        <v/>
      </c>
      <c r="I283" s="44"/>
      <c r="J283" s="31" t="str">
        <f t="shared" si="25"/>
        <v/>
      </c>
      <c r="K283" s="34"/>
      <c r="L283" s="35"/>
      <c r="M283" s="34"/>
      <c r="N283" s="34"/>
      <c r="O283" s="2" t="str">
        <f t="shared" si="28"/>
        <v xml:space="preserve"> </v>
      </c>
    </row>
    <row r="284" spans="1:15" s="2" customFormat="1" x14ac:dyDescent="0.2">
      <c r="A284" s="28"/>
      <c r="B284" s="29"/>
      <c r="C284" s="30" t="str">
        <f t="shared" si="26"/>
        <v/>
      </c>
      <c r="D284" s="31"/>
      <c r="E284" s="31"/>
      <c r="F284" s="32"/>
      <c r="G284" s="33" t="str">
        <f t="shared" si="27"/>
        <v/>
      </c>
      <c r="H284" s="32" t="str">
        <f t="shared" si="24"/>
        <v/>
      </c>
      <c r="I284" s="44"/>
      <c r="J284" s="31" t="str">
        <f t="shared" si="25"/>
        <v/>
      </c>
      <c r="K284" s="34"/>
      <c r="L284" s="35"/>
      <c r="M284" s="34"/>
      <c r="N284" s="34"/>
      <c r="O284" s="2" t="str">
        <f t="shared" si="28"/>
        <v xml:space="preserve"> </v>
      </c>
    </row>
    <row r="285" spans="1:15" s="2" customFormat="1" x14ac:dyDescent="0.2">
      <c r="A285" s="28"/>
      <c r="B285" s="29"/>
      <c r="C285" s="30" t="str">
        <f t="shared" si="26"/>
        <v/>
      </c>
      <c r="D285" s="31"/>
      <c r="E285" s="31"/>
      <c r="F285" s="32"/>
      <c r="G285" s="33" t="str">
        <f t="shared" si="27"/>
        <v/>
      </c>
      <c r="H285" s="32" t="str">
        <f t="shared" si="24"/>
        <v/>
      </c>
      <c r="I285" s="44"/>
      <c r="J285" s="31" t="str">
        <f t="shared" si="25"/>
        <v/>
      </c>
      <c r="K285" s="34"/>
      <c r="L285" s="35"/>
      <c r="M285" s="34"/>
      <c r="N285" s="34"/>
      <c r="O285" s="2" t="str">
        <f t="shared" si="28"/>
        <v xml:space="preserve"> </v>
      </c>
    </row>
    <row r="286" spans="1:15" s="2" customFormat="1" x14ac:dyDescent="0.2">
      <c r="A286" s="28"/>
      <c r="B286" s="29"/>
      <c r="C286" s="30" t="str">
        <f t="shared" si="26"/>
        <v/>
      </c>
      <c r="D286" s="31"/>
      <c r="E286" s="31"/>
      <c r="F286" s="32"/>
      <c r="G286" s="33" t="str">
        <f t="shared" si="27"/>
        <v/>
      </c>
      <c r="H286" s="32" t="str">
        <f t="shared" si="24"/>
        <v/>
      </c>
      <c r="I286" s="44"/>
      <c r="J286" s="31" t="str">
        <f t="shared" si="25"/>
        <v/>
      </c>
      <c r="K286" s="34"/>
      <c r="L286" s="35"/>
      <c r="M286" s="34"/>
      <c r="N286" s="34"/>
      <c r="O286" s="2" t="str">
        <f t="shared" si="28"/>
        <v xml:space="preserve"> </v>
      </c>
    </row>
    <row r="287" spans="1:15" s="2" customFormat="1" x14ac:dyDescent="0.2">
      <c r="A287" s="28"/>
      <c r="B287" s="29"/>
      <c r="C287" s="30" t="str">
        <f t="shared" si="26"/>
        <v/>
      </c>
      <c r="D287" s="31"/>
      <c r="E287" s="31"/>
      <c r="F287" s="32"/>
      <c r="G287" s="33" t="str">
        <f t="shared" si="27"/>
        <v/>
      </c>
      <c r="H287" s="32" t="str">
        <f t="shared" si="24"/>
        <v/>
      </c>
      <c r="I287" s="44"/>
      <c r="J287" s="31" t="str">
        <f t="shared" si="25"/>
        <v/>
      </c>
      <c r="K287" s="34"/>
      <c r="L287" s="35"/>
      <c r="M287" s="34"/>
      <c r="N287" s="34"/>
      <c r="O287" s="2" t="str">
        <f t="shared" si="28"/>
        <v xml:space="preserve"> </v>
      </c>
    </row>
    <row r="288" spans="1:15" s="2" customFormat="1" x14ac:dyDescent="0.2">
      <c r="A288" s="28"/>
      <c r="B288" s="29"/>
      <c r="C288" s="30" t="str">
        <f t="shared" si="26"/>
        <v/>
      </c>
      <c r="D288" s="31"/>
      <c r="E288" s="31"/>
      <c r="F288" s="32"/>
      <c r="G288" s="33" t="str">
        <f t="shared" si="27"/>
        <v/>
      </c>
      <c r="H288" s="32" t="str">
        <f t="shared" si="24"/>
        <v/>
      </c>
      <c r="I288" s="44"/>
      <c r="J288" s="31" t="str">
        <f t="shared" si="25"/>
        <v/>
      </c>
      <c r="K288" s="34"/>
      <c r="L288" s="35"/>
      <c r="M288" s="34"/>
      <c r="N288" s="34"/>
      <c r="O288" s="2" t="str">
        <f t="shared" si="28"/>
        <v xml:space="preserve"> </v>
      </c>
    </row>
    <row r="289" spans="1:15" s="2" customFormat="1" x14ac:dyDescent="0.2">
      <c r="A289" s="28"/>
      <c r="B289" s="29"/>
      <c r="C289" s="30" t="str">
        <f t="shared" si="26"/>
        <v/>
      </c>
      <c r="D289" s="31"/>
      <c r="E289" s="31"/>
      <c r="F289" s="32"/>
      <c r="G289" s="33" t="str">
        <f t="shared" si="27"/>
        <v/>
      </c>
      <c r="H289" s="32" t="str">
        <f t="shared" si="24"/>
        <v/>
      </c>
      <c r="I289" s="44"/>
      <c r="J289" s="31" t="str">
        <f t="shared" si="25"/>
        <v/>
      </c>
      <c r="K289" s="34"/>
      <c r="L289" s="35"/>
      <c r="M289" s="34"/>
      <c r="N289" s="34"/>
      <c r="O289" s="2" t="str">
        <f t="shared" si="28"/>
        <v xml:space="preserve"> </v>
      </c>
    </row>
    <row r="290" spans="1:15" s="2" customFormat="1" x14ac:dyDescent="0.2">
      <c r="A290" s="28"/>
      <c r="B290" s="29"/>
      <c r="C290" s="30" t="str">
        <f t="shared" ref="C290:C293" si="29">IF(B290="","",TEXT(DAY(B290),"00")&amp;"/"&amp;TEXT(MONTH(B290),"00"))</f>
        <v/>
      </c>
      <c r="D290" s="31"/>
      <c r="E290" s="31"/>
      <c r="F290" s="32"/>
      <c r="G290" s="33" t="str">
        <f t="shared" si="27"/>
        <v/>
      </c>
      <c r="H290" s="32" t="str">
        <f t="shared" si="24"/>
        <v/>
      </c>
      <c r="I290" s="44"/>
      <c r="J290" s="31" t="str">
        <f t="shared" si="25"/>
        <v/>
      </c>
      <c r="K290" s="34"/>
      <c r="L290" s="35"/>
      <c r="M290" s="34"/>
      <c r="N290" s="34"/>
    </row>
    <row r="291" spans="1:15" s="2" customFormat="1" x14ac:dyDescent="0.2">
      <c r="A291" s="28"/>
      <c r="B291" s="29"/>
      <c r="C291" s="30" t="str">
        <f t="shared" si="29"/>
        <v/>
      </c>
      <c r="D291" s="31"/>
      <c r="E291" s="31"/>
      <c r="F291" s="32"/>
      <c r="G291" s="33" t="str">
        <f t="shared" si="27"/>
        <v/>
      </c>
      <c r="H291" s="32" t="str">
        <f t="shared" si="24"/>
        <v/>
      </c>
      <c r="I291" s="44"/>
      <c r="J291" s="31" t="str">
        <f t="shared" si="25"/>
        <v/>
      </c>
      <c r="K291" s="34"/>
      <c r="L291" s="35"/>
      <c r="M291" s="34"/>
      <c r="N291" s="34"/>
    </row>
    <row r="292" spans="1:15" s="2" customFormat="1" x14ac:dyDescent="0.2">
      <c r="A292" s="28"/>
      <c r="B292" s="29"/>
      <c r="C292" s="30" t="str">
        <f t="shared" si="29"/>
        <v/>
      </c>
      <c r="D292" s="31"/>
      <c r="E292" s="31"/>
      <c r="F292" s="32"/>
      <c r="G292" s="33" t="str">
        <f t="shared" si="27"/>
        <v/>
      </c>
      <c r="H292" s="32" t="str">
        <f t="shared" si="24"/>
        <v/>
      </c>
      <c r="I292" s="44"/>
      <c r="J292" s="31" t="str">
        <f t="shared" si="25"/>
        <v/>
      </c>
      <c r="K292" s="34"/>
      <c r="L292" s="35"/>
      <c r="M292" s="34"/>
      <c r="N292" s="34"/>
    </row>
    <row r="293" spans="1:15" s="2" customFormat="1" x14ac:dyDescent="0.2">
      <c r="A293" s="28"/>
      <c r="B293" s="29"/>
      <c r="C293" s="30" t="str">
        <f t="shared" si="29"/>
        <v/>
      </c>
      <c r="D293" s="31"/>
      <c r="E293" s="31"/>
      <c r="F293" s="32"/>
      <c r="G293" s="33" t="str">
        <f t="shared" si="27"/>
        <v/>
      </c>
      <c r="H293" s="32" t="str">
        <f t="shared" si="24"/>
        <v/>
      </c>
      <c r="I293" s="44"/>
      <c r="J293" s="31" t="str">
        <f t="shared" si="25"/>
        <v/>
      </c>
      <c r="K293" s="34"/>
      <c r="L293" s="35"/>
      <c r="M293" s="34"/>
      <c r="N293" s="34"/>
    </row>
    <row r="294" spans="1:15" s="2" customFormat="1" x14ac:dyDescent="0.2">
      <c r="A294" s="28"/>
      <c r="B294" s="29"/>
      <c r="C294" s="30" t="str">
        <f t="shared" si="26"/>
        <v/>
      </c>
      <c r="D294" s="31"/>
      <c r="E294" s="31"/>
      <c r="F294" s="32"/>
      <c r="G294" s="33" t="str">
        <f t="shared" si="27"/>
        <v/>
      </c>
      <c r="H294" s="32" t="str">
        <f t="shared" si="24"/>
        <v/>
      </c>
      <c r="I294" s="44"/>
      <c r="J294" s="31" t="str">
        <f t="shared" si="25"/>
        <v/>
      </c>
      <c r="K294" s="34"/>
      <c r="L294" s="35"/>
      <c r="M294" s="34"/>
      <c r="N294" s="34"/>
      <c r="O294" s="2" t="str">
        <f t="shared" si="28"/>
        <v xml:space="preserve"> </v>
      </c>
    </row>
    <row r="295" spans="1:15" s="2" customFormat="1" x14ac:dyDescent="0.2">
      <c r="A295" s="28"/>
      <c r="B295" s="29"/>
      <c r="C295" s="30" t="str">
        <f t="shared" si="26"/>
        <v/>
      </c>
      <c r="D295" s="31"/>
      <c r="E295" s="31"/>
      <c r="F295" s="32"/>
      <c r="G295" s="33" t="str">
        <f t="shared" si="27"/>
        <v/>
      </c>
      <c r="H295" s="32" t="str">
        <f t="shared" si="24"/>
        <v/>
      </c>
      <c r="I295" s="44"/>
      <c r="J295" s="31" t="str">
        <f t="shared" si="25"/>
        <v/>
      </c>
      <c r="K295" s="34"/>
      <c r="L295" s="35"/>
      <c r="M295" s="34"/>
      <c r="N295" s="34"/>
      <c r="O295" s="2" t="str">
        <f t="shared" si="28"/>
        <v xml:space="preserve"> </v>
      </c>
    </row>
    <row r="296" spans="1:15" s="2" customFormat="1" x14ac:dyDescent="0.2">
      <c r="A296" s="28"/>
      <c r="B296" s="29"/>
      <c r="C296" s="30" t="str">
        <f t="shared" si="26"/>
        <v/>
      </c>
      <c r="D296" s="31"/>
      <c r="E296" s="31"/>
      <c r="F296" s="32"/>
      <c r="G296" s="33" t="str">
        <f t="shared" si="27"/>
        <v/>
      </c>
      <c r="H296" s="32" t="str">
        <f t="shared" si="24"/>
        <v/>
      </c>
      <c r="I296" s="44"/>
      <c r="J296" s="31" t="str">
        <f t="shared" si="25"/>
        <v/>
      </c>
      <c r="K296" s="34"/>
      <c r="L296" s="35"/>
      <c r="M296" s="34"/>
      <c r="N296" s="34"/>
      <c r="O296" s="2" t="str">
        <f t="shared" si="28"/>
        <v xml:space="preserve"> </v>
      </c>
    </row>
    <row r="297" spans="1:15" s="2" customFormat="1" x14ac:dyDescent="0.2">
      <c r="A297" s="28"/>
      <c r="B297" s="29"/>
      <c r="C297" s="30" t="str">
        <f t="shared" si="26"/>
        <v/>
      </c>
      <c r="D297" s="31"/>
      <c r="E297" s="31"/>
      <c r="F297" s="32"/>
      <c r="G297" s="33" t="str">
        <f t="shared" si="27"/>
        <v/>
      </c>
      <c r="H297" s="32" t="str">
        <f t="shared" si="24"/>
        <v/>
      </c>
      <c r="I297" s="44"/>
      <c r="J297" s="31" t="str">
        <f t="shared" si="25"/>
        <v/>
      </c>
      <c r="K297" s="34"/>
      <c r="L297" s="35"/>
      <c r="M297" s="34"/>
      <c r="N297" s="34"/>
      <c r="O297" s="2" t="str">
        <f t="shared" si="28"/>
        <v xml:space="preserve"> </v>
      </c>
    </row>
    <row r="298" spans="1:15" s="2" customFormat="1" x14ac:dyDescent="0.2">
      <c r="A298" s="28"/>
      <c r="B298" s="29"/>
      <c r="C298" s="30" t="str">
        <f t="shared" si="26"/>
        <v/>
      </c>
      <c r="D298" s="31"/>
      <c r="E298" s="31"/>
      <c r="F298" s="32"/>
      <c r="G298" s="33" t="str">
        <f t="shared" si="27"/>
        <v/>
      </c>
      <c r="H298" s="32" t="str">
        <f t="shared" si="24"/>
        <v/>
      </c>
      <c r="I298" s="44"/>
      <c r="J298" s="31" t="str">
        <f t="shared" si="25"/>
        <v/>
      </c>
      <c r="K298" s="34"/>
      <c r="L298" s="35"/>
      <c r="M298" s="34"/>
      <c r="N298" s="34"/>
      <c r="O298" s="2" t="str">
        <f t="shared" si="28"/>
        <v xml:space="preserve"> </v>
      </c>
    </row>
    <row r="299" spans="1:15" s="2" customFormat="1" x14ac:dyDescent="0.2">
      <c r="A299" s="28"/>
      <c r="B299" s="29"/>
      <c r="C299" s="30" t="str">
        <f t="shared" si="26"/>
        <v/>
      </c>
      <c r="D299" s="31"/>
      <c r="E299" s="31"/>
      <c r="F299" s="32"/>
      <c r="G299" s="33" t="str">
        <f t="shared" si="27"/>
        <v/>
      </c>
      <c r="H299" s="32" t="str">
        <f t="shared" si="24"/>
        <v/>
      </c>
      <c r="I299" s="44"/>
      <c r="J299" s="31" t="str">
        <f t="shared" si="25"/>
        <v/>
      </c>
      <c r="K299" s="34"/>
      <c r="L299" s="35"/>
      <c r="M299" s="34"/>
      <c r="N299" s="34"/>
      <c r="O299" s="2" t="str">
        <f t="shared" si="28"/>
        <v xml:space="preserve"> </v>
      </c>
    </row>
    <row r="300" spans="1:15" s="2" customFormat="1" x14ac:dyDescent="0.2">
      <c r="A300" s="28"/>
      <c r="B300" s="29"/>
      <c r="C300" s="30" t="str">
        <f t="shared" si="26"/>
        <v/>
      </c>
      <c r="D300" s="31"/>
      <c r="E300" s="31"/>
      <c r="F300" s="32"/>
      <c r="G300" s="33" t="str">
        <f t="shared" si="27"/>
        <v/>
      </c>
      <c r="H300" s="32" t="str">
        <f t="shared" si="24"/>
        <v/>
      </c>
      <c r="I300" s="44"/>
      <c r="J300" s="31" t="str">
        <f t="shared" si="25"/>
        <v/>
      </c>
      <c r="K300" s="34"/>
      <c r="L300" s="35"/>
      <c r="M300" s="34"/>
      <c r="N300" s="34"/>
      <c r="O300" s="2" t="str">
        <f t="shared" si="28"/>
        <v xml:space="preserve"> </v>
      </c>
    </row>
    <row r="301" spans="1:15" s="2" customFormat="1" x14ac:dyDescent="0.2">
      <c r="A301" s="28"/>
      <c r="B301" s="29"/>
      <c r="C301" s="30" t="str">
        <f t="shared" si="26"/>
        <v/>
      </c>
      <c r="D301" s="31"/>
      <c r="E301" s="31"/>
      <c r="F301" s="32"/>
      <c r="G301" s="33" t="str">
        <f t="shared" si="27"/>
        <v/>
      </c>
      <c r="H301" s="32" t="str">
        <f t="shared" si="24"/>
        <v/>
      </c>
      <c r="I301" s="44"/>
      <c r="J301" s="31" t="str">
        <f t="shared" si="25"/>
        <v/>
      </c>
      <c r="K301" s="34"/>
      <c r="L301" s="35"/>
      <c r="M301" s="34"/>
      <c r="N301" s="34"/>
      <c r="O301" s="2" t="str">
        <f t="shared" si="28"/>
        <v xml:space="preserve"> </v>
      </c>
    </row>
    <row r="302" spans="1:15" s="2" customFormat="1" x14ac:dyDescent="0.2">
      <c r="A302" s="28"/>
      <c r="B302" s="29"/>
      <c r="C302" s="30" t="str">
        <f t="shared" si="26"/>
        <v/>
      </c>
      <c r="D302" s="31"/>
      <c r="E302" s="31"/>
      <c r="F302" s="32"/>
      <c r="G302" s="33" t="str">
        <f t="shared" si="27"/>
        <v/>
      </c>
      <c r="H302" s="32" t="str">
        <f t="shared" si="24"/>
        <v/>
      </c>
      <c r="I302" s="44"/>
      <c r="J302" s="31" t="str">
        <f t="shared" si="25"/>
        <v/>
      </c>
      <c r="K302" s="34"/>
      <c r="L302" s="35"/>
      <c r="M302" s="34"/>
      <c r="N302" s="34"/>
      <c r="O302" s="2" t="str">
        <f t="shared" si="28"/>
        <v xml:space="preserve"> </v>
      </c>
    </row>
    <row r="303" spans="1:15" s="2" customFormat="1" x14ac:dyDescent="0.2">
      <c r="A303" s="28"/>
      <c r="B303" s="29"/>
      <c r="C303" s="30" t="str">
        <f t="shared" si="26"/>
        <v/>
      </c>
      <c r="D303" s="31"/>
      <c r="E303" s="31"/>
      <c r="F303" s="32"/>
      <c r="G303" s="33" t="str">
        <f t="shared" si="27"/>
        <v/>
      </c>
      <c r="H303" s="32" t="str">
        <f t="shared" si="24"/>
        <v/>
      </c>
      <c r="I303" s="44"/>
      <c r="J303" s="31" t="str">
        <f t="shared" si="25"/>
        <v/>
      </c>
      <c r="K303" s="34"/>
      <c r="L303" s="35"/>
      <c r="M303" s="34"/>
      <c r="N303" s="34"/>
      <c r="O303" s="2" t="str">
        <f t="shared" si="28"/>
        <v xml:space="preserve"> </v>
      </c>
    </row>
    <row r="304" spans="1:15" s="2" customFormat="1" x14ac:dyDescent="0.2">
      <c r="A304" s="28"/>
      <c r="B304" s="29"/>
      <c r="C304" s="30" t="str">
        <f t="shared" si="26"/>
        <v/>
      </c>
      <c r="D304" s="31"/>
      <c r="E304" s="31"/>
      <c r="F304" s="32"/>
      <c r="G304" s="33" t="str">
        <f t="shared" si="27"/>
        <v/>
      </c>
      <c r="H304" s="32" t="str">
        <f t="shared" si="24"/>
        <v/>
      </c>
      <c r="I304" s="44"/>
      <c r="J304" s="31" t="str">
        <f t="shared" si="25"/>
        <v/>
      </c>
      <c r="K304" s="34"/>
      <c r="L304" s="35"/>
      <c r="M304" s="34"/>
      <c r="N304" s="34"/>
      <c r="O304" s="2" t="str">
        <f t="shared" si="28"/>
        <v xml:space="preserve"> </v>
      </c>
    </row>
    <row r="305" spans="1:15" s="2" customFormat="1" x14ac:dyDescent="0.2">
      <c r="A305" s="28"/>
      <c r="B305" s="29"/>
      <c r="C305" s="30" t="str">
        <f t="shared" si="26"/>
        <v/>
      </c>
      <c r="D305" s="31"/>
      <c r="E305" s="31"/>
      <c r="F305" s="32"/>
      <c r="G305" s="33" t="str">
        <f t="shared" si="27"/>
        <v/>
      </c>
      <c r="H305" s="32" t="str">
        <f t="shared" si="24"/>
        <v/>
      </c>
      <c r="I305" s="44"/>
      <c r="J305" s="31" t="str">
        <f t="shared" si="25"/>
        <v/>
      </c>
      <c r="K305" s="34"/>
      <c r="L305" s="35"/>
      <c r="M305" s="34"/>
      <c r="N305" s="34"/>
      <c r="O305" s="2" t="str">
        <f t="shared" si="28"/>
        <v xml:space="preserve"> </v>
      </c>
    </row>
    <row r="306" spans="1:15" s="2" customFormat="1" x14ac:dyDescent="0.2">
      <c r="A306" s="28"/>
      <c r="B306" s="29"/>
      <c r="C306" s="30" t="str">
        <f t="shared" si="26"/>
        <v/>
      </c>
      <c r="D306" s="31"/>
      <c r="E306" s="31"/>
      <c r="F306" s="32"/>
      <c r="G306" s="33" t="str">
        <f t="shared" si="27"/>
        <v/>
      </c>
      <c r="H306" s="32" t="str">
        <f t="shared" si="24"/>
        <v/>
      </c>
      <c r="I306" s="44"/>
      <c r="J306" s="31" t="str">
        <f t="shared" si="25"/>
        <v/>
      </c>
      <c r="K306" s="34"/>
      <c r="L306" s="35"/>
      <c r="M306" s="34"/>
      <c r="N306" s="34"/>
      <c r="O306" s="2" t="str">
        <f t="shared" si="28"/>
        <v xml:space="preserve"> </v>
      </c>
    </row>
    <row r="307" spans="1:15" s="2" customFormat="1" x14ac:dyDescent="0.2">
      <c r="A307" s="28"/>
      <c r="B307" s="29"/>
      <c r="C307" s="30" t="str">
        <f t="shared" si="26"/>
        <v/>
      </c>
      <c r="D307" s="31"/>
      <c r="E307" s="31"/>
      <c r="F307" s="32"/>
      <c r="G307" s="33" t="str">
        <f t="shared" si="27"/>
        <v/>
      </c>
      <c r="H307" s="32" t="str">
        <f t="shared" si="24"/>
        <v/>
      </c>
      <c r="I307" s="44"/>
      <c r="J307" s="31" t="str">
        <f t="shared" si="25"/>
        <v/>
      </c>
      <c r="K307" s="34"/>
      <c r="L307" s="35"/>
      <c r="M307" s="34"/>
      <c r="N307" s="34"/>
      <c r="O307" s="2" t="str">
        <f t="shared" si="28"/>
        <v xml:space="preserve"> </v>
      </c>
    </row>
    <row r="308" spans="1:15" s="2" customFormat="1" x14ac:dyDescent="0.2">
      <c r="A308" s="28"/>
      <c r="B308" s="29"/>
      <c r="C308" s="30" t="str">
        <f t="shared" si="26"/>
        <v/>
      </c>
      <c r="D308" s="31"/>
      <c r="E308" s="31"/>
      <c r="F308" s="32"/>
      <c r="G308" s="33" t="str">
        <f t="shared" si="27"/>
        <v/>
      </c>
      <c r="H308" s="32" t="str">
        <f t="shared" si="24"/>
        <v/>
      </c>
      <c r="I308" s="44"/>
      <c r="J308" s="31" t="str">
        <f t="shared" si="25"/>
        <v/>
      </c>
      <c r="K308" s="34"/>
      <c r="L308" s="35"/>
      <c r="M308" s="34"/>
      <c r="N308" s="34"/>
      <c r="O308" s="2" t="str">
        <f t="shared" si="28"/>
        <v xml:space="preserve"> </v>
      </c>
    </row>
    <row r="309" spans="1:15" s="2" customFormat="1" x14ac:dyDescent="0.2">
      <c r="A309" s="28"/>
      <c r="B309" s="29"/>
      <c r="C309" s="30" t="str">
        <f t="shared" si="26"/>
        <v/>
      </c>
      <c r="D309" s="31"/>
      <c r="E309" s="31"/>
      <c r="F309" s="32"/>
      <c r="G309" s="33" t="str">
        <f t="shared" si="27"/>
        <v/>
      </c>
      <c r="H309" s="32" t="str">
        <f t="shared" si="24"/>
        <v/>
      </c>
      <c r="I309" s="44"/>
      <c r="J309" s="31" t="str">
        <f t="shared" si="25"/>
        <v/>
      </c>
      <c r="K309" s="34"/>
      <c r="L309" s="35"/>
      <c r="M309" s="34"/>
      <c r="N309" s="34"/>
      <c r="O309" s="2" t="str">
        <f t="shared" si="28"/>
        <v xml:space="preserve"> </v>
      </c>
    </row>
    <row r="310" spans="1:15" s="2" customFormat="1" x14ac:dyDescent="0.2">
      <c r="A310" s="28"/>
      <c r="B310" s="29"/>
      <c r="C310" s="30" t="str">
        <f t="shared" si="26"/>
        <v/>
      </c>
      <c r="D310" s="31"/>
      <c r="E310" s="31"/>
      <c r="F310" s="32"/>
      <c r="G310" s="33" t="str">
        <f t="shared" si="27"/>
        <v/>
      </c>
      <c r="H310" s="32" t="str">
        <f t="shared" si="24"/>
        <v/>
      </c>
      <c r="I310" s="44"/>
      <c r="J310" s="31" t="str">
        <f t="shared" si="25"/>
        <v/>
      </c>
      <c r="K310" s="34"/>
      <c r="L310" s="35"/>
      <c r="M310" s="34"/>
      <c r="N310" s="34"/>
      <c r="O310" s="2" t="str">
        <f t="shared" si="28"/>
        <v xml:space="preserve"> </v>
      </c>
    </row>
    <row r="311" spans="1:15" s="2" customFormat="1" x14ac:dyDescent="0.2">
      <c r="A311" s="28"/>
      <c r="B311" s="29"/>
      <c r="C311" s="30" t="str">
        <f t="shared" si="26"/>
        <v/>
      </c>
      <c r="D311" s="31"/>
      <c r="E311" s="31"/>
      <c r="F311" s="32"/>
      <c r="G311" s="33" t="str">
        <f t="shared" si="27"/>
        <v/>
      </c>
      <c r="H311" s="32" t="str">
        <f t="shared" si="24"/>
        <v/>
      </c>
      <c r="I311" s="44"/>
      <c r="J311" s="31" t="str">
        <f t="shared" si="25"/>
        <v/>
      </c>
      <c r="K311" s="34"/>
      <c r="L311" s="35"/>
      <c r="M311" s="34"/>
      <c r="N311" s="34"/>
      <c r="O311" s="2" t="str">
        <f t="shared" si="28"/>
        <v xml:space="preserve"> </v>
      </c>
    </row>
    <row r="312" spans="1:15" s="2" customFormat="1" x14ac:dyDescent="0.2">
      <c r="A312" s="28"/>
      <c r="B312" s="29"/>
      <c r="C312" s="30" t="str">
        <f t="shared" si="26"/>
        <v/>
      </c>
      <c r="D312" s="31"/>
      <c r="E312" s="31"/>
      <c r="F312" s="32"/>
      <c r="G312" s="33" t="str">
        <f t="shared" si="27"/>
        <v/>
      </c>
      <c r="H312" s="32" t="str">
        <f t="shared" si="24"/>
        <v/>
      </c>
      <c r="I312" s="44"/>
      <c r="J312" s="31" t="str">
        <f t="shared" si="25"/>
        <v/>
      </c>
      <c r="K312" s="34"/>
      <c r="L312" s="35"/>
      <c r="M312" s="34"/>
      <c r="N312" s="34"/>
      <c r="O312" s="2" t="str">
        <f t="shared" si="28"/>
        <v xml:space="preserve"> </v>
      </c>
    </row>
    <row r="313" spans="1:15" s="2" customFormat="1" x14ac:dyDescent="0.2">
      <c r="A313" s="28"/>
      <c r="B313" s="29"/>
      <c r="C313" s="30" t="str">
        <f t="shared" si="26"/>
        <v/>
      </c>
      <c r="D313" s="31"/>
      <c r="E313" s="31"/>
      <c r="F313" s="32"/>
      <c r="G313" s="33" t="str">
        <f t="shared" si="27"/>
        <v/>
      </c>
      <c r="H313" s="32" t="str">
        <f t="shared" si="24"/>
        <v/>
      </c>
      <c r="I313" s="44"/>
      <c r="J313" s="31" t="str">
        <f t="shared" si="25"/>
        <v/>
      </c>
      <c r="K313" s="34"/>
      <c r="L313" s="35"/>
      <c r="M313" s="34"/>
      <c r="N313" s="34"/>
      <c r="O313" s="2" t="str">
        <f t="shared" si="28"/>
        <v xml:space="preserve"> </v>
      </c>
    </row>
    <row r="314" spans="1:15" s="2" customFormat="1" x14ac:dyDescent="0.2">
      <c r="A314" s="28"/>
      <c r="B314" s="29"/>
      <c r="C314" s="30" t="str">
        <f t="shared" si="26"/>
        <v/>
      </c>
      <c r="D314" s="31"/>
      <c r="E314" s="31"/>
      <c r="F314" s="32"/>
      <c r="G314" s="33" t="str">
        <f t="shared" si="27"/>
        <v/>
      </c>
      <c r="H314" s="32" t="str">
        <f t="shared" si="24"/>
        <v/>
      </c>
      <c r="I314" s="44"/>
      <c r="J314" s="31" t="str">
        <f t="shared" si="25"/>
        <v/>
      </c>
      <c r="K314" s="34"/>
      <c r="L314" s="35"/>
      <c r="M314" s="34"/>
      <c r="N314" s="34"/>
    </row>
    <row r="315" spans="1:15" s="2" customFormat="1" x14ac:dyDescent="0.2">
      <c r="A315" s="28"/>
      <c r="B315" s="29"/>
      <c r="C315" s="30" t="str">
        <f t="shared" si="26"/>
        <v/>
      </c>
      <c r="D315" s="31"/>
      <c r="E315" s="31"/>
      <c r="F315" s="32"/>
      <c r="G315" s="33" t="str">
        <f t="shared" si="27"/>
        <v/>
      </c>
      <c r="H315" s="32" t="str">
        <f t="shared" si="24"/>
        <v/>
      </c>
      <c r="I315" s="44"/>
      <c r="J315" s="31" t="str">
        <f t="shared" si="25"/>
        <v/>
      </c>
      <c r="K315" s="34"/>
      <c r="L315" s="35"/>
      <c r="M315" s="34"/>
      <c r="N315" s="34"/>
    </row>
    <row r="316" spans="1:15" s="2" customFormat="1" x14ac:dyDescent="0.2">
      <c r="A316" s="28"/>
      <c r="B316" s="29"/>
      <c r="C316" s="30" t="str">
        <f t="shared" si="26"/>
        <v/>
      </c>
      <c r="D316" s="31"/>
      <c r="E316" s="31"/>
      <c r="F316" s="32"/>
      <c r="G316" s="33" t="str">
        <f t="shared" si="27"/>
        <v/>
      </c>
      <c r="H316" s="32" t="str">
        <f t="shared" si="24"/>
        <v/>
      </c>
      <c r="I316" s="44"/>
      <c r="J316" s="31" t="str">
        <f t="shared" si="25"/>
        <v/>
      </c>
      <c r="K316" s="34"/>
      <c r="L316" s="35"/>
      <c r="M316" s="34"/>
      <c r="N316" s="34"/>
    </row>
    <row r="317" spans="1:15" s="2" customFormat="1" x14ac:dyDescent="0.2">
      <c r="A317" s="28"/>
      <c r="B317" s="29"/>
      <c r="C317" s="30" t="str">
        <f t="shared" si="26"/>
        <v/>
      </c>
      <c r="D317" s="31"/>
      <c r="E317" s="31"/>
      <c r="F317" s="32"/>
      <c r="G317" s="33" t="str">
        <f t="shared" si="27"/>
        <v/>
      </c>
      <c r="H317" s="32" t="str">
        <f t="shared" si="24"/>
        <v/>
      </c>
      <c r="I317" s="44"/>
      <c r="J317" s="31" t="str">
        <f t="shared" si="25"/>
        <v/>
      </c>
      <c r="K317" s="34"/>
      <c r="L317" s="35"/>
      <c r="M317" s="34"/>
      <c r="N317" s="34"/>
    </row>
    <row r="318" spans="1:15" s="2" customFormat="1" x14ac:dyDescent="0.2">
      <c r="A318" s="28"/>
      <c r="B318" s="29"/>
      <c r="C318" s="30" t="str">
        <f t="shared" si="26"/>
        <v/>
      </c>
      <c r="D318" s="31"/>
      <c r="E318" s="31"/>
      <c r="F318" s="32"/>
      <c r="G318" s="33" t="str">
        <f t="shared" si="27"/>
        <v/>
      </c>
      <c r="H318" s="32" t="str">
        <f t="shared" si="24"/>
        <v/>
      </c>
      <c r="I318" s="44"/>
      <c r="J318" s="31" t="str">
        <f t="shared" si="25"/>
        <v/>
      </c>
      <c r="K318" s="34"/>
      <c r="L318" s="35"/>
      <c r="M318" s="34"/>
      <c r="N318" s="34"/>
    </row>
    <row r="319" spans="1:15" s="2" customFormat="1" x14ac:dyDescent="0.2">
      <c r="A319" s="28"/>
      <c r="B319" s="29"/>
      <c r="C319" s="30" t="str">
        <f t="shared" si="26"/>
        <v/>
      </c>
      <c r="D319" s="31"/>
      <c r="E319" s="31"/>
      <c r="F319" s="32"/>
      <c r="G319" s="33" t="str">
        <f t="shared" si="27"/>
        <v/>
      </c>
      <c r="H319" s="32" t="str">
        <f t="shared" si="24"/>
        <v/>
      </c>
      <c r="I319" s="44"/>
      <c r="J319" s="31" t="str">
        <f t="shared" si="25"/>
        <v/>
      </c>
      <c r="K319" s="34"/>
      <c r="L319" s="35"/>
      <c r="M319" s="34"/>
      <c r="N319" s="34"/>
    </row>
    <row r="320" spans="1:15" s="2" customFormat="1" x14ac:dyDescent="0.2">
      <c r="A320" s="28"/>
      <c r="B320" s="29"/>
      <c r="C320" s="30" t="str">
        <f t="shared" si="26"/>
        <v/>
      </c>
      <c r="D320" s="31"/>
      <c r="E320" s="31"/>
      <c r="F320" s="32"/>
      <c r="G320" s="33" t="str">
        <f t="shared" si="27"/>
        <v/>
      </c>
      <c r="H320" s="32" t="str">
        <f t="shared" si="24"/>
        <v/>
      </c>
      <c r="I320" s="44"/>
      <c r="J320" s="31" t="str">
        <f t="shared" si="25"/>
        <v/>
      </c>
      <c r="K320" s="34"/>
      <c r="L320" s="35"/>
      <c r="M320" s="34"/>
      <c r="N320" s="34"/>
    </row>
    <row r="321" spans="1:15" s="2" customFormat="1" x14ac:dyDescent="0.2">
      <c r="A321" s="28"/>
      <c r="B321" s="29"/>
      <c r="C321" s="30" t="str">
        <f t="shared" si="26"/>
        <v/>
      </c>
      <c r="D321" s="31"/>
      <c r="E321" s="31"/>
      <c r="F321" s="32"/>
      <c r="G321" s="33" t="str">
        <f t="shared" si="27"/>
        <v/>
      </c>
      <c r="H321" s="32" t="str">
        <f t="shared" si="24"/>
        <v/>
      </c>
      <c r="I321" s="44"/>
      <c r="J321" s="31" t="str">
        <f t="shared" si="25"/>
        <v/>
      </c>
      <c r="K321" s="34"/>
      <c r="L321" s="35"/>
      <c r="M321" s="34"/>
      <c r="N321" s="34"/>
    </row>
    <row r="322" spans="1:15" s="2" customFormat="1" x14ac:dyDescent="0.2">
      <c r="A322" s="28"/>
      <c r="B322" s="29"/>
      <c r="C322" s="30" t="str">
        <f t="shared" si="26"/>
        <v/>
      </c>
      <c r="D322" s="31"/>
      <c r="E322" s="31"/>
      <c r="F322" s="32"/>
      <c r="G322" s="33" t="str">
        <f t="shared" si="27"/>
        <v/>
      </c>
      <c r="H322" s="32" t="str">
        <f t="shared" si="24"/>
        <v/>
      </c>
      <c r="I322" s="44"/>
      <c r="J322" s="31" t="str">
        <f t="shared" si="25"/>
        <v/>
      </c>
      <c r="K322" s="34"/>
      <c r="L322" s="35"/>
      <c r="M322" s="34"/>
      <c r="N322" s="34"/>
    </row>
    <row r="323" spans="1:15" s="2" customFormat="1" x14ac:dyDescent="0.2">
      <c r="A323" s="28"/>
      <c r="B323" s="29"/>
      <c r="C323" s="30" t="str">
        <f t="shared" si="26"/>
        <v/>
      </c>
      <c r="D323" s="31"/>
      <c r="E323" s="31"/>
      <c r="F323" s="32"/>
      <c r="G323" s="33" t="str">
        <f t="shared" si="27"/>
        <v/>
      </c>
      <c r="H323" s="32" t="str">
        <f t="shared" si="24"/>
        <v/>
      </c>
      <c r="I323" s="44"/>
      <c r="J323" s="31" t="str">
        <f t="shared" si="25"/>
        <v/>
      </c>
      <c r="K323" s="34"/>
      <c r="L323" s="35"/>
      <c r="M323" s="34"/>
      <c r="N323" s="34"/>
    </row>
    <row r="324" spans="1:15" s="2" customFormat="1" x14ac:dyDescent="0.2">
      <c r="A324" s="28"/>
      <c r="B324" s="29"/>
      <c r="C324" s="30" t="str">
        <f t="shared" si="26"/>
        <v/>
      </c>
      <c r="D324" s="31"/>
      <c r="E324" s="31"/>
      <c r="F324" s="32"/>
      <c r="G324" s="33" t="str">
        <f t="shared" si="27"/>
        <v/>
      </c>
      <c r="H324" s="32" t="str">
        <f t="shared" si="24"/>
        <v/>
      </c>
      <c r="I324" s="44"/>
      <c r="J324" s="31" t="str">
        <f t="shared" si="25"/>
        <v/>
      </c>
      <c r="K324" s="34"/>
      <c r="L324" s="35"/>
      <c r="M324" s="34"/>
      <c r="N324" s="34"/>
    </row>
    <row r="325" spans="1:15" s="2" customFormat="1" x14ac:dyDescent="0.2">
      <c r="A325" s="28"/>
      <c r="B325" s="29"/>
      <c r="C325" s="30" t="str">
        <f t="shared" si="26"/>
        <v/>
      </c>
      <c r="D325" s="31"/>
      <c r="E325" s="31"/>
      <c r="F325" s="32"/>
      <c r="G325" s="33" t="str">
        <f t="shared" si="27"/>
        <v/>
      </c>
      <c r="H325" s="32" t="str">
        <f t="shared" si="24"/>
        <v/>
      </c>
      <c r="I325" s="44"/>
      <c r="J325" s="31" t="str">
        <f t="shared" si="25"/>
        <v/>
      </c>
      <c r="K325" s="34"/>
      <c r="L325" s="35"/>
      <c r="M325" s="34"/>
      <c r="N325" s="34"/>
    </row>
    <row r="326" spans="1:15" s="2" customFormat="1" x14ac:dyDescent="0.2">
      <c r="A326" s="28"/>
      <c r="B326" s="29"/>
      <c r="C326" s="30" t="str">
        <f t="shared" si="26"/>
        <v/>
      </c>
      <c r="D326" s="31"/>
      <c r="E326" s="31"/>
      <c r="F326" s="32"/>
      <c r="G326" s="33" t="str">
        <f t="shared" si="27"/>
        <v/>
      </c>
      <c r="H326" s="32" t="str">
        <f t="shared" si="24"/>
        <v/>
      </c>
      <c r="I326" s="44"/>
      <c r="J326" s="31" t="str">
        <f t="shared" si="25"/>
        <v/>
      </c>
      <c r="K326" s="34"/>
      <c r="L326" s="35"/>
      <c r="M326" s="39"/>
      <c r="N326" s="34"/>
      <c r="O326" s="2" t="str">
        <f t="shared" ref="O326:O389" si="30">CONCATENATE(K326," ",N326)</f>
        <v xml:space="preserve"> </v>
      </c>
    </row>
    <row r="327" spans="1:15" s="2" customFormat="1" x14ac:dyDescent="0.2">
      <c r="A327" s="28"/>
      <c r="B327" s="29"/>
      <c r="C327" s="30" t="str">
        <f t="shared" si="26"/>
        <v/>
      </c>
      <c r="D327" s="31"/>
      <c r="E327" s="31"/>
      <c r="F327" s="32"/>
      <c r="G327" s="33" t="str">
        <f t="shared" si="27"/>
        <v/>
      </c>
      <c r="H327" s="32" t="str">
        <f t="shared" ref="H327:H390" si="31">IF(F327&lt;&gt;"",ABS(F327),"")</f>
        <v/>
      </c>
      <c r="I327" s="44"/>
      <c r="J327" s="31" t="str">
        <f t="shared" ref="J327:J390" si="32">IF(F327=0,"",IF(F327&lt;0,"PAGAMENTO","RECEBIMENTO"))</f>
        <v/>
      </c>
      <c r="K327" s="34"/>
      <c r="L327" s="35"/>
      <c r="M327" s="34"/>
      <c r="N327" s="34"/>
      <c r="O327" s="2" t="str">
        <f t="shared" si="30"/>
        <v xml:space="preserve"> </v>
      </c>
    </row>
    <row r="328" spans="1:15" s="2" customFormat="1" x14ac:dyDescent="0.2">
      <c r="A328" s="28"/>
      <c r="B328" s="29"/>
      <c r="C328" s="30" t="str">
        <f t="shared" si="26"/>
        <v/>
      </c>
      <c r="D328" s="31"/>
      <c r="E328" s="31"/>
      <c r="F328" s="32"/>
      <c r="G328" s="33" t="str">
        <f t="shared" si="27"/>
        <v/>
      </c>
      <c r="H328" s="32" t="str">
        <f t="shared" si="31"/>
        <v/>
      </c>
      <c r="I328" s="44"/>
      <c r="J328" s="31" t="str">
        <f t="shared" si="32"/>
        <v/>
      </c>
      <c r="K328" s="34"/>
      <c r="L328" s="35"/>
      <c r="M328" s="34"/>
      <c r="N328" s="34"/>
      <c r="O328" s="2" t="str">
        <f t="shared" si="30"/>
        <v xml:space="preserve"> </v>
      </c>
    </row>
    <row r="329" spans="1:15" s="2" customFormat="1" x14ac:dyDescent="0.2">
      <c r="A329" s="28"/>
      <c r="B329" s="29"/>
      <c r="C329" s="30" t="str">
        <f t="shared" si="26"/>
        <v/>
      </c>
      <c r="D329" s="31"/>
      <c r="E329" s="31"/>
      <c r="F329" s="32"/>
      <c r="G329" s="33" t="str">
        <f t="shared" si="27"/>
        <v/>
      </c>
      <c r="H329" s="32" t="str">
        <f t="shared" si="31"/>
        <v/>
      </c>
      <c r="I329" s="44"/>
      <c r="J329" s="31" t="str">
        <f t="shared" si="32"/>
        <v/>
      </c>
      <c r="K329" s="34"/>
      <c r="L329" s="35"/>
      <c r="M329" s="34"/>
      <c r="N329" s="34"/>
      <c r="O329" s="2" t="str">
        <f t="shared" si="30"/>
        <v xml:space="preserve"> </v>
      </c>
    </row>
    <row r="330" spans="1:15" s="2" customFormat="1" x14ac:dyDescent="0.2">
      <c r="A330" s="28"/>
      <c r="B330" s="29"/>
      <c r="C330" s="30" t="str">
        <f t="shared" si="26"/>
        <v/>
      </c>
      <c r="D330" s="31"/>
      <c r="E330" s="31"/>
      <c r="F330" s="32"/>
      <c r="G330" s="33" t="str">
        <f t="shared" si="27"/>
        <v/>
      </c>
      <c r="H330" s="32" t="str">
        <f t="shared" si="31"/>
        <v/>
      </c>
      <c r="I330" s="44"/>
      <c r="J330" s="31" t="str">
        <f t="shared" si="32"/>
        <v/>
      </c>
      <c r="K330" s="34"/>
      <c r="L330" s="35"/>
      <c r="M330" s="34"/>
      <c r="N330" s="34"/>
      <c r="O330" s="2" t="str">
        <f t="shared" si="30"/>
        <v xml:space="preserve"> </v>
      </c>
    </row>
    <row r="331" spans="1:15" s="2" customFormat="1" x14ac:dyDescent="0.2">
      <c r="A331" s="28"/>
      <c r="B331" s="29"/>
      <c r="C331" s="30" t="str">
        <f t="shared" ref="C331:C393" si="33">IF(B331="","",TEXT(DAY(B331),"00")&amp;"/"&amp;TEXT(MONTH(B331),"00"))</f>
        <v/>
      </c>
      <c r="D331" s="31"/>
      <c r="E331" s="31"/>
      <c r="F331" s="32"/>
      <c r="G331" s="33" t="str">
        <f t="shared" si="27"/>
        <v/>
      </c>
      <c r="H331" s="32" t="str">
        <f t="shared" si="31"/>
        <v/>
      </c>
      <c r="I331" s="44"/>
      <c r="J331" s="31" t="str">
        <f t="shared" si="32"/>
        <v/>
      </c>
      <c r="K331" s="34"/>
      <c r="L331" s="35"/>
      <c r="M331" s="34"/>
      <c r="N331" s="34"/>
      <c r="O331" s="2" t="str">
        <f t="shared" si="30"/>
        <v xml:space="preserve"> </v>
      </c>
    </row>
    <row r="332" spans="1:15" s="2" customFormat="1" x14ac:dyDescent="0.2">
      <c r="A332" s="28"/>
      <c r="B332" s="29"/>
      <c r="C332" s="30" t="str">
        <f t="shared" si="33"/>
        <v/>
      </c>
      <c r="D332" s="31"/>
      <c r="E332" s="31"/>
      <c r="F332" s="32"/>
      <c r="G332" s="33" t="str">
        <f t="shared" si="27"/>
        <v/>
      </c>
      <c r="H332" s="32" t="str">
        <f t="shared" si="31"/>
        <v/>
      </c>
      <c r="I332" s="44"/>
      <c r="J332" s="31" t="str">
        <f t="shared" si="32"/>
        <v/>
      </c>
      <c r="K332" s="34"/>
      <c r="L332" s="35"/>
      <c r="M332" s="34"/>
      <c r="N332" s="34"/>
      <c r="O332" s="2" t="str">
        <f t="shared" si="30"/>
        <v xml:space="preserve"> </v>
      </c>
    </row>
    <row r="333" spans="1:15" s="2" customFormat="1" x14ac:dyDescent="0.2">
      <c r="A333" s="28"/>
      <c r="B333" s="29"/>
      <c r="C333" s="30" t="str">
        <f t="shared" si="33"/>
        <v/>
      </c>
      <c r="D333" s="31"/>
      <c r="E333" s="31"/>
      <c r="F333" s="32"/>
      <c r="G333" s="33" t="str">
        <f t="shared" ref="G333:G396" si="34">IF(F333&lt;&gt;"",F333+G332,"")</f>
        <v/>
      </c>
      <c r="H333" s="32" t="str">
        <f t="shared" si="31"/>
        <v/>
      </c>
      <c r="I333" s="44"/>
      <c r="J333" s="31" t="str">
        <f t="shared" si="32"/>
        <v/>
      </c>
      <c r="K333" s="34"/>
      <c r="L333" s="35"/>
      <c r="M333" s="34"/>
      <c r="N333" s="34"/>
      <c r="O333" s="2" t="str">
        <f t="shared" si="30"/>
        <v xml:space="preserve"> </v>
      </c>
    </row>
    <row r="334" spans="1:15" s="2" customFormat="1" x14ac:dyDescent="0.2">
      <c r="A334" s="28"/>
      <c r="B334" s="29"/>
      <c r="C334" s="30" t="str">
        <f t="shared" si="33"/>
        <v/>
      </c>
      <c r="D334" s="31"/>
      <c r="E334" s="31"/>
      <c r="F334" s="32"/>
      <c r="G334" s="33" t="str">
        <f t="shared" si="34"/>
        <v/>
      </c>
      <c r="H334" s="32" t="str">
        <f t="shared" si="31"/>
        <v/>
      </c>
      <c r="I334" s="44"/>
      <c r="J334" s="31" t="str">
        <f t="shared" si="32"/>
        <v/>
      </c>
      <c r="K334" s="34"/>
      <c r="L334" s="35"/>
      <c r="M334" s="34"/>
      <c r="N334" s="34"/>
      <c r="O334" s="2" t="str">
        <f t="shared" si="30"/>
        <v xml:space="preserve"> </v>
      </c>
    </row>
    <row r="335" spans="1:15" s="2" customFormat="1" x14ac:dyDescent="0.2">
      <c r="A335" s="28"/>
      <c r="B335" s="29"/>
      <c r="C335" s="30" t="str">
        <f t="shared" si="33"/>
        <v/>
      </c>
      <c r="D335" s="31"/>
      <c r="E335" s="31"/>
      <c r="F335" s="32"/>
      <c r="G335" s="33" t="str">
        <f t="shared" si="34"/>
        <v/>
      </c>
      <c r="H335" s="32" t="str">
        <f t="shared" si="31"/>
        <v/>
      </c>
      <c r="I335" s="44"/>
      <c r="J335" s="31" t="str">
        <f t="shared" si="32"/>
        <v/>
      </c>
      <c r="K335" s="34"/>
      <c r="L335" s="35"/>
      <c r="M335" s="34"/>
      <c r="N335" s="34"/>
      <c r="O335" s="2" t="str">
        <f t="shared" si="30"/>
        <v xml:space="preserve"> </v>
      </c>
    </row>
    <row r="336" spans="1:15" s="2" customFormat="1" x14ac:dyDescent="0.2">
      <c r="A336" s="28"/>
      <c r="B336" s="29"/>
      <c r="C336" s="30" t="str">
        <f t="shared" si="33"/>
        <v/>
      </c>
      <c r="D336" s="31"/>
      <c r="E336" s="31"/>
      <c r="F336" s="32"/>
      <c r="G336" s="33" t="str">
        <f t="shared" si="34"/>
        <v/>
      </c>
      <c r="H336" s="32" t="str">
        <f t="shared" si="31"/>
        <v/>
      </c>
      <c r="I336" s="44"/>
      <c r="J336" s="31" t="str">
        <f t="shared" si="32"/>
        <v/>
      </c>
      <c r="K336" s="34"/>
      <c r="L336" s="35"/>
      <c r="M336" s="34"/>
      <c r="N336" s="34"/>
      <c r="O336" s="2" t="str">
        <f t="shared" si="30"/>
        <v xml:space="preserve"> </v>
      </c>
    </row>
    <row r="337" spans="1:15" s="2" customFormat="1" x14ac:dyDescent="0.2">
      <c r="A337" s="28"/>
      <c r="B337" s="29"/>
      <c r="C337" s="30" t="str">
        <f t="shared" si="33"/>
        <v/>
      </c>
      <c r="D337" s="31"/>
      <c r="E337" s="31"/>
      <c r="F337" s="32"/>
      <c r="G337" s="33" t="str">
        <f t="shared" si="34"/>
        <v/>
      </c>
      <c r="H337" s="32" t="str">
        <f t="shared" si="31"/>
        <v/>
      </c>
      <c r="I337" s="44"/>
      <c r="J337" s="31" t="str">
        <f t="shared" si="32"/>
        <v/>
      </c>
      <c r="K337" s="34"/>
      <c r="L337" s="35"/>
      <c r="M337" s="34"/>
      <c r="N337" s="34"/>
      <c r="O337" s="2" t="str">
        <f t="shared" si="30"/>
        <v xml:space="preserve"> </v>
      </c>
    </row>
    <row r="338" spans="1:15" s="2" customFormat="1" x14ac:dyDescent="0.2">
      <c r="A338" s="28"/>
      <c r="B338" s="29"/>
      <c r="C338" s="30" t="str">
        <f t="shared" si="33"/>
        <v/>
      </c>
      <c r="D338" s="31"/>
      <c r="E338" s="31"/>
      <c r="F338" s="32"/>
      <c r="G338" s="33" t="str">
        <f t="shared" si="34"/>
        <v/>
      </c>
      <c r="H338" s="32" t="str">
        <f t="shared" si="31"/>
        <v/>
      </c>
      <c r="I338" s="44"/>
      <c r="J338" s="31" t="str">
        <f t="shared" si="32"/>
        <v/>
      </c>
      <c r="K338" s="34"/>
      <c r="L338" s="35"/>
      <c r="M338" s="34"/>
      <c r="N338" s="34"/>
      <c r="O338" s="2" t="str">
        <f t="shared" si="30"/>
        <v xml:space="preserve"> </v>
      </c>
    </row>
    <row r="339" spans="1:15" s="2" customFormat="1" x14ac:dyDescent="0.2">
      <c r="A339" s="28"/>
      <c r="B339" s="29"/>
      <c r="C339" s="30" t="str">
        <f t="shared" si="33"/>
        <v/>
      </c>
      <c r="D339" s="31"/>
      <c r="E339" s="31"/>
      <c r="F339" s="32"/>
      <c r="G339" s="33" t="str">
        <f t="shared" si="34"/>
        <v/>
      </c>
      <c r="H339" s="32" t="str">
        <f t="shared" si="31"/>
        <v/>
      </c>
      <c r="I339" s="44"/>
      <c r="J339" s="31" t="str">
        <f t="shared" si="32"/>
        <v/>
      </c>
      <c r="K339" s="34"/>
      <c r="L339" s="35"/>
      <c r="M339" s="34"/>
      <c r="N339" s="34"/>
      <c r="O339" s="2" t="str">
        <f t="shared" si="30"/>
        <v xml:space="preserve"> </v>
      </c>
    </row>
    <row r="340" spans="1:15" s="2" customFormat="1" x14ac:dyDescent="0.2">
      <c r="A340" s="28"/>
      <c r="B340" s="29"/>
      <c r="C340" s="30" t="str">
        <f t="shared" si="33"/>
        <v/>
      </c>
      <c r="D340" s="31"/>
      <c r="E340" s="31"/>
      <c r="F340" s="32"/>
      <c r="G340" s="33" t="str">
        <f t="shared" si="34"/>
        <v/>
      </c>
      <c r="H340" s="32" t="str">
        <f t="shared" si="31"/>
        <v/>
      </c>
      <c r="I340" s="44"/>
      <c r="J340" s="31" t="str">
        <f t="shared" si="32"/>
        <v/>
      </c>
      <c r="K340" s="34"/>
      <c r="L340" s="35"/>
      <c r="M340" s="34"/>
      <c r="N340" s="34"/>
      <c r="O340" s="2" t="str">
        <f t="shared" si="30"/>
        <v xml:space="preserve"> </v>
      </c>
    </row>
    <row r="341" spans="1:15" s="2" customFormat="1" x14ac:dyDescent="0.2">
      <c r="A341" s="28"/>
      <c r="B341" s="29"/>
      <c r="C341" s="30" t="str">
        <f t="shared" si="33"/>
        <v/>
      </c>
      <c r="D341" s="31"/>
      <c r="E341" s="31"/>
      <c r="F341" s="32"/>
      <c r="G341" s="33" t="str">
        <f t="shared" si="34"/>
        <v/>
      </c>
      <c r="H341" s="32" t="str">
        <f t="shared" si="31"/>
        <v/>
      </c>
      <c r="I341" s="44"/>
      <c r="J341" s="31" t="str">
        <f t="shared" si="32"/>
        <v/>
      </c>
      <c r="K341" s="34"/>
      <c r="L341" s="35"/>
      <c r="M341" s="34"/>
      <c r="N341" s="34"/>
      <c r="O341" s="2" t="str">
        <f t="shared" si="30"/>
        <v xml:space="preserve"> </v>
      </c>
    </row>
    <row r="342" spans="1:15" s="2" customFormat="1" x14ac:dyDescent="0.2">
      <c r="A342" s="28"/>
      <c r="B342" s="29"/>
      <c r="C342" s="30" t="str">
        <f t="shared" si="33"/>
        <v/>
      </c>
      <c r="D342" s="31"/>
      <c r="E342" s="31"/>
      <c r="F342" s="32"/>
      <c r="G342" s="33" t="str">
        <f t="shared" si="34"/>
        <v/>
      </c>
      <c r="H342" s="32" t="str">
        <f t="shared" si="31"/>
        <v/>
      </c>
      <c r="I342" s="44"/>
      <c r="J342" s="31" t="str">
        <f t="shared" si="32"/>
        <v/>
      </c>
      <c r="K342" s="34"/>
      <c r="L342" s="35"/>
      <c r="M342" s="34"/>
      <c r="N342" s="34"/>
      <c r="O342" s="2" t="str">
        <f t="shared" si="30"/>
        <v xml:space="preserve"> </v>
      </c>
    </row>
    <row r="343" spans="1:15" s="2" customFormat="1" x14ac:dyDescent="0.2">
      <c r="A343" s="28"/>
      <c r="B343" s="29"/>
      <c r="C343" s="30" t="str">
        <f t="shared" si="33"/>
        <v/>
      </c>
      <c r="D343" s="31"/>
      <c r="E343" s="31"/>
      <c r="F343" s="32"/>
      <c r="G343" s="33" t="str">
        <f t="shared" si="34"/>
        <v/>
      </c>
      <c r="H343" s="32" t="str">
        <f t="shared" si="31"/>
        <v/>
      </c>
      <c r="I343" s="44"/>
      <c r="J343" s="31" t="str">
        <f t="shared" si="32"/>
        <v/>
      </c>
      <c r="K343" s="34"/>
      <c r="L343" s="35"/>
      <c r="M343" s="34"/>
      <c r="N343" s="34"/>
      <c r="O343" s="2" t="str">
        <f t="shared" si="30"/>
        <v xml:space="preserve"> </v>
      </c>
    </row>
    <row r="344" spans="1:15" s="2" customFormat="1" x14ac:dyDescent="0.2">
      <c r="A344" s="28"/>
      <c r="B344" s="29"/>
      <c r="C344" s="30" t="str">
        <f t="shared" si="33"/>
        <v/>
      </c>
      <c r="D344" s="31"/>
      <c r="E344" s="31"/>
      <c r="F344" s="32"/>
      <c r="G344" s="33" t="str">
        <f t="shared" si="34"/>
        <v/>
      </c>
      <c r="H344" s="32" t="str">
        <f t="shared" si="31"/>
        <v/>
      </c>
      <c r="I344" s="44"/>
      <c r="J344" s="31" t="str">
        <f t="shared" si="32"/>
        <v/>
      </c>
      <c r="K344" s="34"/>
      <c r="L344" s="35"/>
      <c r="M344" s="34"/>
      <c r="N344" s="34"/>
      <c r="O344" s="2" t="str">
        <f t="shared" si="30"/>
        <v xml:space="preserve"> </v>
      </c>
    </row>
    <row r="345" spans="1:15" s="2" customFormat="1" x14ac:dyDescent="0.2">
      <c r="A345" s="28"/>
      <c r="B345" s="29"/>
      <c r="C345" s="30" t="str">
        <f t="shared" si="33"/>
        <v/>
      </c>
      <c r="D345" s="31"/>
      <c r="E345" s="31"/>
      <c r="F345" s="32"/>
      <c r="G345" s="33" t="str">
        <f t="shared" si="34"/>
        <v/>
      </c>
      <c r="H345" s="32" t="str">
        <f t="shared" si="31"/>
        <v/>
      </c>
      <c r="I345" s="44"/>
      <c r="J345" s="31" t="str">
        <f t="shared" si="32"/>
        <v/>
      </c>
      <c r="K345" s="34"/>
      <c r="L345" s="35"/>
      <c r="M345" s="34"/>
      <c r="N345" s="34"/>
      <c r="O345" s="2" t="str">
        <f t="shared" si="30"/>
        <v xml:space="preserve"> </v>
      </c>
    </row>
    <row r="346" spans="1:15" s="2" customFormat="1" x14ac:dyDescent="0.2">
      <c r="A346" s="28"/>
      <c r="B346" s="29"/>
      <c r="C346" s="30" t="str">
        <f t="shared" si="33"/>
        <v/>
      </c>
      <c r="D346" s="31"/>
      <c r="E346" s="31"/>
      <c r="F346" s="32"/>
      <c r="G346" s="33" t="str">
        <f t="shared" si="34"/>
        <v/>
      </c>
      <c r="H346" s="32" t="str">
        <f t="shared" si="31"/>
        <v/>
      </c>
      <c r="I346" s="44"/>
      <c r="J346" s="31" t="str">
        <f t="shared" si="32"/>
        <v/>
      </c>
      <c r="K346" s="34"/>
      <c r="L346" s="35"/>
      <c r="M346" s="34"/>
      <c r="N346" s="34"/>
      <c r="O346" s="2" t="str">
        <f t="shared" si="30"/>
        <v xml:space="preserve"> </v>
      </c>
    </row>
    <row r="347" spans="1:15" s="2" customFormat="1" x14ac:dyDescent="0.2">
      <c r="A347" s="28"/>
      <c r="B347" s="29"/>
      <c r="C347" s="30" t="str">
        <f t="shared" si="33"/>
        <v/>
      </c>
      <c r="D347" s="31"/>
      <c r="E347" s="31"/>
      <c r="F347" s="32"/>
      <c r="G347" s="33" t="str">
        <f t="shared" si="34"/>
        <v/>
      </c>
      <c r="H347" s="32" t="str">
        <f t="shared" si="31"/>
        <v/>
      </c>
      <c r="I347" s="44"/>
      <c r="J347" s="31" t="str">
        <f t="shared" si="32"/>
        <v/>
      </c>
      <c r="K347" s="34"/>
      <c r="L347" s="35"/>
      <c r="M347" s="34"/>
      <c r="N347" s="34"/>
      <c r="O347" s="2" t="str">
        <f t="shared" si="30"/>
        <v xml:space="preserve"> </v>
      </c>
    </row>
    <row r="348" spans="1:15" s="2" customFormat="1" x14ac:dyDescent="0.2">
      <c r="A348" s="28"/>
      <c r="B348" s="29"/>
      <c r="C348" s="30" t="str">
        <f t="shared" si="33"/>
        <v/>
      </c>
      <c r="D348" s="31"/>
      <c r="E348" s="31"/>
      <c r="F348" s="32"/>
      <c r="G348" s="33" t="str">
        <f t="shared" si="34"/>
        <v/>
      </c>
      <c r="H348" s="32" t="str">
        <f t="shared" si="31"/>
        <v/>
      </c>
      <c r="I348" s="44"/>
      <c r="J348" s="31" t="str">
        <f t="shared" si="32"/>
        <v/>
      </c>
      <c r="K348" s="34"/>
      <c r="L348" s="35"/>
      <c r="M348" s="34"/>
      <c r="N348" s="34"/>
      <c r="O348" s="2" t="str">
        <f t="shared" si="30"/>
        <v xml:space="preserve"> </v>
      </c>
    </row>
    <row r="349" spans="1:15" s="2" customFormat="1" x14ac:dyDescent="0.2">
      <c r="A349" s="28"/>
      <c r="B349" s="29"/>
      <c r="C349" s="30" t="str">
        <f t="shared" si="33"/>
        <v/>
      </c>
      <c r="D349" s="31"/>
      <c r="E349" s="31"/>
      <c r="F349" s="32"/>
      <c r="G349" s="33" t="str">
        <f t="shared" si="34"/>
        <v/>
      </c>
      <c r="H349" s="32" t="str">
        <f t="shared" si="31"/>
        <v/>
      </c>
      <c r="I349" s="44"/>
      <c r="J349" s="31" t="str">
        <f t="shared" si="32"/>
        <v/>
      </c>
      <c r="K349" s="34"/>
      <c r="L349" s="35"/>
      <c r="M349" s="34"/>
      <c r="N349" s="34"/>
      <c r="O349" s="2" t="str">
        <f t="shared" si="30"/>
        <v xml:space="preserve"> </v>
      </c>
    </row>
    <row r="350" spans="1:15" s="2" customFormat="1" x14ac:dyDescent="0.2">
      <c r="A350" s="28"/>
      <c r="B350" s="29"/>
      <c r="C350" s="30" t="str">
        <f t="shared" si="33"/>
        <v/>
      </c>
      <c r="D350" s="31"/>
      <c r="E350" s="31"/>
      <c r="F350" s="32"/>
      <c r="G350" s="33" t="str">
        <f t="shared" si="34"/>
        <v/>
      </c>
      <c r="H350" s="32" t="str">
        <f t="shared" si="31"/>
        <v/>
      </c>
      <c r="I350" s="44"/>
      <c r="J350" s="31" t="str">
        <f t="shared" si="32"/>
        <v/>
      </c>
      <c r="K350" s="34"/>
      <c r="L350" s="35"/>
      <c r="M350" s="34"/>
      <c r="N350" s="34"/>
      <c r="O350" s="2" t="str">
        <f t="shared" si="30"/>
        <v xml:space="preserve"> </v>
      </c>
    </row>
    <row r="351" spans="1:15" s="2" customFormat="1" x14ac:dyDescent="0.2">
      <c r="A351" s="28"/>
      <c r="B351" s="29"/>
      <c r="C351" s="30" t="str">
        <f t="shared" si="33"/>
        <v/>
      </c>
      <c r="D351" s="31"/>
      <c r="E351" s="31"/>
      <c r="F351" s="32"/>
      <c r="G351" s="33" t="str">
        <f t="shared" si="34"/>
        <v/>
      </c>
      <c r="H351" s="32" t="str">
        <f t="shared" si="31"/>
        <v/>
      </c>
      <c r="I351" s="44"/>
      <c r="J351" s="31" t="str">
        <f t="shared" si="32"/>
        <v/>
      </c>
      <c r="K351" s="34"/>
      <c r="L351" s="35"/>
      <c r="M351" s="34"/>
      <c r="N351" s="34"/>
      <c r="O351" s="2" t="str">
        <f t="shared" si="30"/>
        <v xml:space="preserve"> </v>
      </c>
    </row>
    <row r="352" spans="1:15" s="2" customFormat="1" x14ac:dyDescent="0.2">
      <c r="A352" s="28"/>
      <c r="B352" s="29"/>
      <c r="C352" s="30" t="str">
        <f t="shared" si="33"/>
        <v/>
      </c>
      <c r="D352" s="31"/>
      <c r="E352" s="31"/>
      <c r="F352" s="32"/>
      <c r="G352" s="33" t="str">
        <f t="shared" si="34"/>
        <v/>
      </c>
      <c r="H352" s="32" t="str">
        <f t="shared" si="31"/>
        <v/>
      </c>
      <c r="I352" s="44"/>
      <c r="J352" s="31" t="str">
        <f t="shared" si="32"/>
        <v/>
      </c>
      <c r="K352" s="34"/>
      <c r="L352" s="35"/>
      <c r="M352" s="34"/>
      <c r="N352" s="34"/>
      <c r="O352" s="2" t="str">
        <f t="shared" si="30"/>
        <v xml:space="preserve"> </v>
      </c>
    </row>
    <row r="353" spans="1:15" s="2" customFormat="1" x14ac:dyDescent="0.2">
      <c r="A353" s="28"/>
      <c r="B353" s="29"/>
      <c r="C353" s="30" t="str">
        <f t="shared" si="33"/>
        <v/>
      </c>
      <c r="D353" s="31"/>
      <c r="E353" s="31"/>
      <c r="F353" s="32"/>
      <c r="G353" s="33" t="str">
        <f t="shared" si="34"/>
        <v/>
      </c>
      <c r="H353" s="32" t="str">
        <f t="shared" si="31"/>
        <v/>
      </c>
      <c r="I353" s="44"/>
      <c r="J353" s="31" t="str">
        <f t="shared" si="32"/>
        <v/>
      </c>
      <c r="K353" s="34"/>
      <c r="L353" s="35"/>
      <c r="M353" s="34"/>
      <c r="N353" s="34"/>
      <c r="O353" s="2" t="str">
        <f t="shared" si="30"/>
        <v xml:space="preserve"> </v>
      </c>
    </row>
    <row r="354" spans="1:15" s="2" customFormat="1" x14ac:dyDescent="0.2">
      <c r="A354" s="28"/>
      <c r="B354" s="29"/>
      <c r="C354" s="30" t="str">
        <f t="shared" si="33"/>
        <v/>
      </c>
      <c r="D354" s="31"/>
      <c r="E354" s="31"/>
      <c r="F354" s="32"/>
      <c r="G354" s="33" t="str">
        <f t="shared" si="34"/>
        <v/>
      </c>
      <c r="H354" s="32" t="str">
        <f t="shared" si="31"/>
        <v/>
      </c>
      <c r="I354" s="44"/>
      <c r="J354" s="31" t="str">
        <f t="shared" si="32"/>
        <v/>
      </c>
      <c r="K354" s="34"/>
      <c r="L354" s="35"/>
      <c r="M354" s="34"/>
      <c r="N354" s="34"/>
      <c r="O354" s="2" t="str">
        <f t="shared" si="30"/>
        <v xml:space="preserve"> </v>
      </c>
    </row>
    <row r="355" spans="1:15" s="2" customFormat="1" x14ac:dyDescent="0.2">
      <c r="A355" s="28"/>
      <c r="B355" s="29"/>
      <c r="C355" s="30" t="str">
        <f t="shared" si="33"/>
        <v/>
      </c>
      <c r="D355" s="31"/>
      <c r="E355" s="31"/>
      <c r="F355" s="32"/>
      <c r="G355" s="33" t="str">
        <f t="shared" si="34"/>
        <v/>
      </c>
      <c r="H355" s="32" t="str">
        <f t="shared" si="31"/>
        <v/>
      </c>
      <c r="I355" s="44"/>
      <c r="J355" s="31" t="str">
        <f t="shared" si="32"/>
        <v/>
      </c>
      <c r="K355" s="34"/>
      <c r="L355" s="35"/>
      <c r="M355" s="34"/>
      <c r="N355" s="34"/>
      <c r="O355" s="2" t="str">
        <f t="shared" si="30"/>
        <v xml:space="preserve"> </v>
      </c>
    </row>
    <row r="356" spans="1:15" s="2" customFormat="1" x14ac:dyDescent="0.2">
      <c r="A356" s="28"/>
      <c r="B356" s="29"/>
      <c r="C356" s="30" t="str">
        <f t="shared" si="33"/>
        <v/>
      </c>
      <c r="D356" s="31"/>
      <c r="E356" s="31"/>
      <c r="F356" s="32"/>
      <c r="G356" s="33" t="str">
        <f t="shared" si="34"/>
        <v/>
      </c>
      <c r="H356" s="32" t="str">
        <f t="shared" si="31"/>
        <v/>
      </c>
      <c r="I356" s="44"/>
      <c r="J356" s="31" t="str">
        <f t="shared" si="32"/>
        <v/>
      </c>
      <c r="K356" s="34"/>
      <c r="L356" s="35"/>
      <c r="M356" s="34"/>
      <c r="N356" s="34"/>
      <c r="O356" s="2" t="str">
        <f t="shared" si="30"/>
        <v xml:space="preserve"> </v>
      </c>
    </row>
    <row r="357" spans="1:15" s="2" customFormat="1" x14ac:dyDescent="0.2">
      <c r="A357" s="28"/>
      <c r="B357" s="29"/>
      <c r="C357" s="30" t="str">
        <f t="shared" si="33"/>
        <v/>
      </c>
      <c r="D357" s="31"/>
      <c r="E357" s="31"/>
      <c r="F357" s="32"/>
      <c r="G357" s="33" t="str">
        <f t="shared" si="34"/>
        <v/>
      </c>
      <c r="H357" s="32" t="str">
        <f t="shared" si="31"/>
        <v/>
      </c>
      <c r="I357" s="44"/>
      <c r="J357" s="31" t="str">
        <f t="shared" si="32"/>
        <v/>
      </c>
      <c r="K357" s="34"/>
      <c r="L357" s="35"/>
      <c r="M357" s="34"/>
      <c r="N357" s="34"/>
      <c r="O357" s="2" t="str">
        <f t="shared" si="30"/>
        <v xml:space="preserve"> </v>
      </c>
    </row>
    <row r="358" spans="1:15" s="2" customFormat="1" x14ac:dyDescent="0.2">
      <c r="A358" s="28"/>
      <c r="B358" s="29"/>
      <c r="C358" s="30" t="str">
        <f t="shared" si="33"/>
        <v/>
      </c>
      <c r="D358" s="31"/>
      <c r="E358" s="31"/>
      <c r="F358" s="32"/>
      <c r="G358" s="33" t="str">
        <f t="shared" si="34"/>
        <v/>
      </c>
      <c r="H358" s="32" t="str">
        <f t="shared" si="31"/>
        <v/>
      </c>
      <c r="I358" s="44"/>
      <c r="J358" s="31" t="str">
        <f t="shared" si="32"/>
        <v/>
      </c>
      <c r="K358" s="34"/>
      <c r="L358" s="35"/>
      <c r="M358" s="34"/>
      <c r="N358" s="34"/>
      <c r="O358" s="2" t="str">
        <f t="shared" si="30"/>
        <v xml:space="preserve"> </v>
      </c>
    </row>
    <row r="359" spans="1:15" s="2" customFormat="1" x14ac:dyDescent="0.2">
      <c r="A359" s="28"/>
      <c r="B359" s="29"/>
      <c r="C359" s="30" t="str">
        <f t="shared" si="33"/>
        <v/>
      </c>
      <c r="D359" s="31"/>
      <c r="E359" s="31"/>
      <c r="F359" s="32"/>
      <c r="G359" s="33" t="str">
        <f t="shared" si="34"/>
        <v/>
      </c>
      <c r="H359" s="32" t="str">
        <f t="shared" si="31"/>
        <v/>
      </c>
      <c r="I359" s="44"/>
      <c r="J359" s="31" t="str">
        <f t="shared" si="32"/>
        <v/>
      </c>
      <c r="K359" s="34"/>
      <c r="L359" s="35"/>
      <c r="M359" s="34"/>
      <c r="N359" s="34"/>
      <c r="O359" s="2" t="str">
        <f t="shared" si="30"/>
        <v xml:space="preserve"> </v>
      </c>
    </row>
    <row r="360" spans="1:15" s="2" customFormat="1" x14ac:dyDescent="0.2">
      <c r="A360" s="28"/>
      <c r="B360" s="29"/>
      <c r="C360" s="30" t="str">
        <f t="shared" si="33"/>
        <v/>
      </c>
      <c r="D360" s="31"/>
      <c r="E360" s="31"/>
      <c r="F360" s="32"/>
      <c r="G360" s="33" t="str">
        <f t="shared" si="34"/>
        <v/>
      </c>
      <c r="H360" s="32" t="str">
        <f t="shared" si="31"/>
        <v/>
      </c>
      <c r="I360" s="44"/>
      <c r="J360" s="31" t="str">
        <f t="shared" si="32"/>
        <v/>
      </c>
      <c r="K360" s="34"/>
      <c r="L360" s="35"/>
      <c r="M360" s="34"/>
      <c r="N360" s="34"/>
      <c r="O360" s="2" t="str">
        <f t="shared" si="30"/>
        <v xml:space="preserve"> </v>
      </c>
    </row>
    <row r="361" spans="1:15" s="2" customFormat="1" x14ac:dyDescent="0.2">
      <c r="A361" s="28"/>
      <c r="B361" s="29"/>
      <c r="C361" s="30" t="str">
        <f t="shared" si="33"/>
        <v/>
      </c>
      <c r="D361" s="31"/>
      <c r="E361" s="31"/>
      <c r="F361" s="32"/>
      <c r="G361" s="33" t="str">
        <f t="shared" si="34"/>
        <v/>
      </c>
      <c r="H361" s="32" t="str">
        <f t="shared" si="31"/>
        <v/>
      </c>
      <c r="I361" s="44"/>
      <c r="J361" s="31" t="str">
        <f t="shared" si="32"/>
        <v/>
      </c>
      <c r="K361" s="34"/>
      <c r="L361" s="35"/>
      <c r="M361" s="34"/>
      <c r="N361" s="34"/>
      <c r="O361" s="2" t="str">
        <f t="shared" si="30"/>
        <v xml:space="preserve"> </v>
      </c>
    </row>
    <row r="362" spans="1:15" s="2" customFormat="1" x14ac:dyDescent="0.2">
      <c r="A362" s="28"/>
      <c r="B362" s="29"/>
      <c r="C362" s="30" t="str">
        <f t="shared" si="33"/>
        <v/>
      </c>
      <c r="D362" s="31"/>
      <c r="E362" s="31"/>
      <c r="F362" s="32"/>
      <c r="G362" s="33" t="str">
        <f t="shared" si="34"/>
        <v/>
      </c>
      <c r="H362" s="32" t="str">
        <f t="shared" si="31"/>
        <v/>
      </c>
      <c r="I362" s="44"/>
      <c r="J362" s="31" t="str">
        <f t="shared" si="32"/>
        <v/>
      </c>
      <c r="K362" s="34"/>
      <c r="L362" s="35"/>
      <c r="M362" s="34"/>
      <c r="N362" s="34"/>
      <c r="O362" s="2" t="str">
        <f t="shared" si="30"/>
        <v xml:space="preserve"> </v>
      </c>
    </row>
    <row r="363" spans="1:15" s="2" customFormat="1" x14ac:dyDescent="0.2">
      <c r="A363" s="28"/>
      <c r="B363" s="29"/>
      <c r="C363" s="30" t="str">
        <f t="shared" si="33"/>
        <v/>
      </c>
      <c r="D363" s="31"/>
      <c r="E363" s="31"/>
      <c r="F363" s="32"/>
      <c r="G363" s="33" t="str">
        <f t="shared" si="34"/>
        <v/>
      </c>
      <c r="H363" s="32" t="str">
        <f t="shared" si="31"/>
        <v/>
      </c>
      <c r="I363" s="44"/>
      <c r="J363" s="31" t="str">
        <f t="shared" si="32"/>
        <v/>
      </c>
      <c r="K363" s="34"/>
      <c r="L363" s="35"/>
      <c r="M363" s="34"/>
      <c r="N363" s="34"/>
      <c r="O363" s="2" t="str">
        <f t="shared" si="30"/>
        <v xml:space="preserve"> </v>
      </c>
    </row>
    <row r="364" spans="1:15" s="2" customFormat="1" x14ac:dyDescent="0.2">
      <c r="A364" s="28"/>
      <c r="B364" s="29"/>
      <c r="C364" s="30" t="str">
        <f t="shared" si="33"/>
        <v/>
      </c>
      <c r="D364" s="31"/>
      <c r="E364" s="31"/>
      <c r="F364" s="32"/>
      <c r="G364" s="33" t="str">
        <f t="shared" si="34"/>
        <v/>
      </c>
      <c r="H364" s="32" t="str">
        <f t="shared" si="31"/>
        <v/>
      </c>
      <c r="I364" s="44"/>
      <c r="J364" s="31" t="str">
        <f t="shared" si="32"/>
        <v/>
      </c>
      <c r="K364" s="34"/>
      <c r="L364" s="35"/>
      <c r="M364" s="34"/>
      <c r="N364" s="34"/>
      <c r="O364" s="2" t="str">
        <f t="shared" si="30"/>
        <v xml:space="preserve"> </v>
      </c>
    </row>
    <row r="365" spans="1:15" s="2" customFormat="1" x14ac:dyDescent="0.2">
      <c r="A365" s="28"/>
      <c r="B365" s="29"/>
      <c r="C365" s="30" t="str">
        <f t="shared" si="33"/>
        <v/>
      </c>
      <c r="D365" s="31"/>
      <c r="E365" s="31"/>
      <c r="F365" s="32"/>
      <c r="G365" s="33" t="str">
        <f t="shared" si="34"/>
        <v/>
      </c>
      <c r="H365" s="32" t="str">
        <f t="shared" si="31"/>
        <v/>
      </c>
      <c r="I365" s="44"/>
      <c r="J365" s="31" t="str">
        <f t="shared" si="32"/>
        <v/>
      </c>
      <c r="K365" s="34"/>
      <c r="L365" s="35"/>
      <c r="M365" s="34"/>
      <c r="N365" s="34"/>
      <c r="O365" s="2" t="str">
        <f t="shared" si="30"/>
        <v xml:space="preserve"> </v>
      </c>
    </row>
    <row r="366" spans="1:15" s="2" customFormat="1" x14ac:dyDescent="0.2">
      <c r="A366" s="28"/>
      <c r="B366" s="29"/>
      <c r="C366" s="30" t="str">
        <f t="shared" si="33"/>
        <v/>
      </c>
      <c r="D366" s="31"/>
      <c r="E366" s="31"/>
      <c r="F366" s="32"/>
      <c r="G366" s="33" t="str">
        <f t="shared" si="34"/>
        <v/>
      </c>
      <c r="H366" s="32" t="str">
        <f t="shared" si="31"/>
        <v/>
      </c>
      <c r="I366" s="44"/>
      <c r="J366" s="31" t="str">
        <f t="shared" si="32"/>
        <v/>
      </c>
      <c r="K366" s="34"/>
      <c r="L366" s="35"/>
      <c r="M366" s="34"/>
      <c r="N366" s="34"/>
      <c r="O366" s="2" t="str">
        <f t="shared" si="30"/>
        <v xml:space="preserve"> </v>
      </c>
    </row>
    <row r="367" spans="1:15" s="2" customFormat="1" x14ac:dyDescent="0.2">
      <c r="A367" s="28"/>
      <c r="B367" s="29"/>
      <c r="C367" s="30" t="str">
        <f t="shared" si="33"/>
        <v/>
      </c>
      <c r="D367" s="31"/>
      <c r="E367" s="31"/>
      <c r="F367" s="32"/>
      <c r="G367" s="33" t="str">
        <f t="shared" si="34"/>
        <v/>
      </c>
      <c r="H367" s="32" t="str">
        <f t="shared" si="31"/>
        <v/>
      </c>
      <c r="I367" s="44"/>
      <c r="J367" s="31" t="str">
        <f t="shared" si="32"/>
        <v/>
      </c>
      <c r="K367" s="34"/>
      <c r="L367" s="35"/>
      <c r="M367" s="34"/>
      <c r="N367" s="34"/>
      <c r="O367" s="2" t="str">
        <f t="shared" si="30"/>
        <v xml:space="preserve"> </v>
      </c>
    </row>
    <row r="368" spans="1:15" s="2" customFormat="1" x14ac:dyDescent="0.2">
      <c r="A368" s="28"/>
      <c r="B368" s="29"/>
      <c r="C368" s="30" t="str">
        <f t="shared" si="33"/>
        <v/>
      </c>
      <c r="D368" s="31"/>
      <c r="E368" s="31"/>
      <c r="F368" s="32"/>
      <c r="G368" s="33" t="str">
        <f t="shared" si="34"/>
        <v/>
      </c>
      <c r="H368" s="32" t="str">
        <f t="shared" si="31"/>
        <v/>
      </c>
      <c r="I368" s="44"/>
      <c r="J368" s="31" t="str">
        <f t="shared" si="32"/>
        <v/>
      </c>
      <c r="K368" s="34"/>
      <c r="L368" s="35"/>
      <c r="M368" s="34"/>
      <c r="N368" s="34"/>
      <c r="O368" s="2" t="str">
        <f t="shared" si="30"/>
        <v xml:space="preserve"> </v>
      </c>
    </row>
    <row r="369" spans="1:15" s="2" customFormat="1" x14ac:dyDescent="0.2">
      <c r="A369" s="28"/>
      <c r="B369" s="29"/>
      <c r="C369" s="30" t="str">
        <f t="shared" si="33"/>
        <v/>
      </c>
      <c r="D369" s="31"/>
      <c r="E369" s="31"/>
      <c r="F369" s="32"/>
      <c r="G369" s="33" t="str">
        <f t="shared" si="34"/>
        <v/>
      </c>
      <c r="H369" s="32" t="str">
        <f t="shared" si="31"/>
        <v/>
      </c>
      <c r="I369" s="44"/>
      <c r="J369" s="31" t="str">
        <f t="shared" si="32"/>
        <v/>
      </c>
      <c r="K369" s="34"/>
      <c r="L369" s="35"/>
      <c r="M369" s="34"/>
      <c r="N369" s="34"/>
      <c r="O369" s="2" t="str">
        <f t="shared" si="30"/>
        <v xml:space="preserve"> </v>
      </c>
    </row>
    <row r="370" spans="1:15" s="2" customFormat="1" x14ac:dyDescent="0.2">
      <c r="A370" s="28"/>
      <c r="B370" s="29"/>
      <c r="C370" s="30" t="str">
        <f t="shared" si="33"/>
        <v/>
      </c>
      <c r="D370" s="31"/>
      <c r="E370" s="31"/>
      <c r="F370" s="32"/>
      <c r="G370" s="33" t="str">
        <f t="shared" si="34"/>
        <v/>
      </c>
      <c r="H370" s="32" t="str">
        <f t="shared" si="31"/>
        <v/>
      </c>
      <c r="I370" s="44"/>
      <c r="J370" s="31" t="str">
        <f t="shared" si="32"/>
        <v/>
      </c>
      <c r="K370" s="34"/>
      <c r="L370" s="35"/>
      <c r="M370" s="34"/>
      <c r="N370" s="34"/>
      <c r="O370" s="2" t="str">
        <f t="shared" si="30"/>
        <v xml:space="preserve"> </v>
      </c>
    </row>
    <row r="371" spans="1:15" s="2" customFormat="1" x14ac:dyDescent="0.2">
      <c r="A371" s="28"/>
      <c r="B371" s="29"/>
      <c r="C371" s="30" t="str">
        <f t="shared" si="33"/>
        <v/>
      </c>
      <c r="D371" s="31"/>
      <c r="E371" s="31"/>
      <c r="F371" s="32"/>
      <c r="G371" s="33" t="str">
        <f t="shared" si="34"/>
        <v/>
      </c>
      <c r="H371" s="32" t="str">
        <f t="shared" si="31"/>
        <v/>
      </c>
      <c r="I371" s="44"/>
      <c r="J371" s="31" t="str">
        <f t="shared" si="32"/>
        <v/>
      </c>
      <c r="K371" s="34"/>
      <c r="L371" s="35"/>
      <c r="M371" s="34"/>
      <c r="N371" s="34"/>
      <c r="O371" s="2" t="str">
        <f t="shared" si="30"/>
        <v xml:space="preserve"> </v>
      </c>
    </row>
    <row r="372" spans="1:15" s="2" customFormat="1" x14ac:dyDescent="0.2">
      <c r="A372" s="28"/>
      <c r="B372" s="29"/>
      <c r="C372" s="30" t="str">
        <f t="shared" si="33"/>
        <v/>
      </c>
      <c r="D372" s="31"/>
      <c r="E372" s="31"/>
      <c r="F372" s="32"/>
      <c r="G372" s="33" t="str">
        <f t="shared" si="34"/>
        <v/>
      </c>
      <c r="H372" s="32" t="str">
        <f t="shared" si="31"/>
        <v/>
      </c>
      <c r="I372" s="44"/>
      <c r="J372" s="31" t="str">
        <f t="shared" si="32"/>
        <v/>
      </c>
      <c r="K372" s="34"/>
      <c r="L372" s="35"/>
      <c r="M372" s="34"/>
      <c r="N372" s="34"/>
      <c r="O372" s="2" t="str">
        <f t="shared" si="30"/>
        <v xml:space="preserve"> </v>
      </c>
    </row>
    <row r="373" spans="1:15" s="2" customFormat="1" x14ac:dyDescent="0.2">
      <c r="A373" s="28"/>
      <c r="B373" s="29"/>
      <c r="C373" s="30" t="str">
        <f t="shared" si="33"/>
        <v/>
      </c>
      <c r="D373" s="31"/>
      <c r="E373" s="31"/>
      <c r="F373" s="32"/>
      <c r="G373" s="33" t="str">
        <f t="shared" si="34"/>
        <v/>
      </c>
      <c r="H373" s="32" t="str">
        <f t="shared" si="31"/>
        <v/>
      </c>
      <c r="I373" s="44"/>
      <c r="J373" s="31" t="str">
        <f t="shared" si="32"/>
        <v/>
      </c>
      <c r="K373" s="34"/>
      <c r="L373" s="35"/>
      <c r="M373" s="34"/>
      <c r="N373" s="34"/>
      <c r="O373" s="2" t="str">
        <f t="shared" si="30"/>
        <v xml:space="preserve"> </v>
      </c>
    </row>
    <row r="374" spans="1:15" s="2" customFormat="1" x14ac:dyDescent="0.2">
      <c r="A374" s="28"/>
      <c r="B374" s="29"/>
      <c r="C374" s="30" t="str">
        <f t="shared" si="33"/>
        <v/>
      </c>
      <c r="D374" s="31"/>
      <c r="E374" s="31"/>
      <c r="F374" s="32"/>
      <c r="G374" s="33" t="str">
        <f t="shared" si="34"/>
        <v/>
      </c>
      <c r="H374" s="32" t="str">
        <f t="shared" si="31"/>
        <v/>
      </c>
      <c r="I374" s="44"/>
      <c r="J374" s="31" t="str">
        <f t="shared" si="32"/>
        <v/>
      </c>
      <c r="K374" s="34"/>
      <c r="L374" s="35"/>
      <c r="M374" s="34"/>
      <c r="N374" s="34"/>
      <c r="O374" s="2" t="str">
        <f t="shared" si="30"/>
        <v xml:space="preserve"> </v>
      </c>
    </row>
    <row r="375" spans="1:15" s="2" customFormat="1" x14ac:dyDescent="0.2">
      <c r="A375" s="28"/>
      <c r="B375" s="29"/>
      <c r="C375" s="30" t="str">
        <f t="shared" si="33"/>
        <v/>
      </c>
      <c r="D375" s="31"/>
      <c r="E375" s="31"/>
      <c r="F375" s="32"/>
      <c r="G375" s="33" t="str">
        <f t="shared" si="34"/>
        <v/>
      </c>
      <c r="H375" s="32" t="str">
        <f t="shared" si="31"/>
        <v/>
      </c>
      <c r="I375" s="44"/>
      <c r="J375" s="31" t="str">
        <f t="shared" si="32"/>
        <v/>
      </c>
      <c r="K375" s="34"/>
      <c r="L375" s="35"/>
      <c r="M375" s="34"/>
      <c r="N375" s="34"/>
      <c r="O375" s="2" t="str">
        <f t="shared" si="30"/>
        <v xml:space="preserve"> </v>
      </c>
    </row>
    <row r="376" spans="1:15" s="2" customFormat="1" x14ac:dyDescent="0.2">
      <c r="A376" s="28"/>
      <c r="B376" s="29"/>
      <c r="C376" s="30" t="str">
        <f t="shared" si="33"/>
        <v/>
      </c>
      <c r="D376" s="31"/>
      <c r="E376" s="31"/>
      <c r="F376" s="32"/>
      <c r="G376" s="33" t="str">
        <f t="shared" si="34"/>
        <v/>
      </c>
      <c r="H376" s="32" t="str">
        <f t="shared" si="31"/>
        <v/>
      </c>
      <c r="I376" s="44"/>
      <c r="J376" s="31" t="str">
        <f t="shared" si="32"/>
        <v/>
      </c>
      <c r="K376" s="34"/>
      <c r="L376" s="35"/>
      <c r="M376" s="34"/>
      <c r="N376" s="34"/>
      <c r="O376" s="2" t="str">
        <f t="shared" si="30"/>
        <v xml:space="preserve"> </v>
      </c>
    </row>
    <row r="377" spans="1:15" s="2" customFormat="1" x14ac:dyDescent="0.2">
      <c r="A377" s="28"/>
      <c r="B377" s="29"/>
      <c r="C377" s="30" t="str">
        <f t="shared" si="33"/>
        <v/>
      </c>
      <c r="D377" s="31"/>
      <c r="E377" s="31"/>
      <c r="F377" s="32"/>
      <c r="G377" s="33" t="str">
        <f t="shared" si="34"/>
        <v/>
      </c>
      <c r="H377" s="32" t="str">
        <f t="shared" si="31"/>
        <v/>
      </c>
      <c r="I377" s="44"/>
      <c r="J377" s="31" t="str">
        <f t="shared" si="32"/>
        <v/>
      </c>
      <c r="K377" s="34"/>
      <c r="L377" s="35"/>
      <c r="M377" s="34"/>
      <c r="N377" s="34"/>
      <c r="O377" s="2" t="str">
        <f t="shared" si="30"/>
        <v xml:space="preserve"> </v>
      </c>
    </row>
    <row r="378" spans="1:15" s="2" customFormat="1" x14ac:dyDescent="0.2">
      <c r="A378" s="28"/>
      <c r="B378" s="29"/>
      <c r="C378" s="30" t="str">
        <f t="shared" si="33"/>
        <v/>
      </c>
      <c r="D378" s="31"/>
      <c r="E378" s="31"/>
      <c r="F378" s="32"/>
      <c r="G378" s="33" t="str">
        <f t="shared" si="34"/>
        <v/>
      </c>
      <c r="H378" s="32" t="str">
        <f t="shared" si="31"/>
        <v/>
      </c>
      <c r="I378" s="44"/>
      <c r="J378" s="31" t="str">
        <f t="shared" si="32"/>
        <v/>
      </c>
      <c r="K378" s="34"/>
      <c r="L378" s="35"/>
      <c r="M378" s="34"/>
      <c r="N378" s="34"/>
      <c r="O378" s="2" t="str">
        <f t="shared" si="30"/>
        <v xml:space="preserve"> </v>
      </c>
    </row>
    <row r="379" spans="1:15" s="2" customFormat="1" x14ac:dyDescent="0.2">
      <c r="A379" s="28"/>
      <c r="B379" s="29"/>
      <c r="C379" s="30" t="str">
        <f t="shared" si="33"/>
        <v/>
      </c>
      <c r="D379" s="31"/>
      <c r="E379" s="31"/>
      <c r="F379" s="32"/>
      <c r="G379" s="33" t="str">
        <f t="shared" si="34"/>
        <v/>
      </c>
      <c r="H379" s="32" t="str">
        <f t="shared" si="31"/>
        <v/>
      </c>
      <c r="I379" s="44"/>
      <c r="J379" s="31" t="str">
        <f t="shared" si="32"/>
        <v/>
      </c>
      <c r="K379" s="34"/>
      <c r="L379" s="35"/>
      <c r="M379" s="34"/>
      <c r="N379" s="34"/>
      <c r="O379" s="2" t="str">
        <f t="shared" si="30"/>
        <v xml:space="preserve"> </v>
      </c>
    </row>
    <row r="380" spans="1:15" s="2" customFormat="1" x14ac:dyDescent="0.2">
      <c r="A380" s="28"/>
      <c r="B380" s="29"/>
      <c r="C380" s="30" t="str">
        <f t="shared" si="33"/>
        <v/>
      </c>
      <c r="D380" s="31"/>
      <c r="E380" s="31"/>
      <c r="F380" s="32"/>
      <c r="G380" s="33" t="str">
        <f t="shared" si="34"/>
        <v/>
      </c>
      <c r="H380" s="32" t="str">
        <f t="shared" si="31"/>
        <v/>
      </c>
      <c r="I380" s="44"/>
      <c r="J380" s="31" t="str">
        <f t="shared" si="32"/>
        <v/>
      </c>
      <c r="K380" s="34"/>
      <c r="L380" s="35"/>
      <c r="M380" s="34"/>
      <c r="N380" s="34"/>
      <c r="O380" s="2" t="str">
        <f t="shared" si="30"/>
        <v xml:space="preserve"> </v>
      </c>
    </row>
    <row r="381" spans="1:15" s="2" customFormat="1" x14ac:dyDescent="0.2">
      <c r="A381" s="28"/>
      <c r="B381" s="29"/>
      <c r="C381" s="30" t="str">
        <f t="shared" si="33"/>
        <v/>
      </c>
      <c r="D381" s="31"/>
      <c r="E381" s="31"/>
      <c r="F381" s="32"/>
      <c r="G381" s="33" t="str">
        <f t="shared" si="34"/>
        <v/>
      </c>
      <c r="H381" s="32" t="str">
        <f t="shared" si="31"/>
        <v/>
      </c>
      <c r="I381" s="44"/>
      <c r="J381" s="31" t="str">
        <f t="shared" si="32"/>
        <v/>
      </c>
      <c r="K381" s="34"/>
      <c r="L381" s="35"/>
      <c r="M381" s="34"/>
      <c r="N381" s="34"/>
      <c r="O381" s="2" t="str">
        <f t="shared" si="30"/>
        <v xml:space="preserve"> </v>
      </c>
    </row>
    <row r="382" spans="1:15" s="2" customFormat="1" x14ac:dyDescent="0.2">
      <c r="A382" s="28"/>
      <c r="B382" s="29"/>
      <c r="C382" s="30" t="str">
        <f t="shared" si="33"/>
        <v/>
      </c>
      <c r="D382" s="31"/>
      <c r="E382" s="31"/>
      <c r="F382" s="32"/>
      <c r="G382" s="33" t="str">
        <f t="shared" si="34"/>
        <v/>
      </c>
      <c r="H382" s="32" t="str">
        <f t="shared" si="31"/>
        <v/>
      </c>
      <c r="I382" s="44"/>
      <c r="J382" s="31" t="str">
        <f t="shared" si="32"/>
        <v/>
      </c>
      <c r="K382" s="34"/>
      <c r="L382" s="35"/>
      <c r="M382" s="34"/>
      <c r="N382" s="34"/>
      <c r="O382" s="2" t="str">
        <f t="shared" si="30"/>
        <v xml:space="preserve"> </v>
      </c>
    </row>
    <row r="383" spans="1:15" s="2" customFormat="1" x14ac:dyDescent="0.2">
      <c r="A383" s="28"/>
      <c r="B383" s="29"/>
      <c r="C383" s="30" t="str">
        <f t="shared" si="33"/>
        <v/>
      </c>
      <c r="D383" s="31"/>
      <c r="E383" s="31"/>
      <c r="F383" s="32"/>
      <c r="G383" s="33" t="str">
        <f t="shared" si="34"/>
        <v/>
      </c>
      <c r="H383" s="32" t="str">
        <f t="shared" si="31"/>
        <v/>
      </c>
      <c r="I383" s="44"/>
      <c r="J383" s="31" t="str">
        <f t="shared" si="32"/>
        <v/>
      </c>
      <c r="K383" s="34"/>
      <c r="L383" s="35"/>
      <c r="M383" s="34"/>
      <c r="N383" s="34"/>
      <c r="O383" s="2" t="str">
        <f t="shared" si="30"/>
        <v xml:space="preserve"> </v>
      </c>
    </row>
    <row r="384" spans="1:15" s="2" customFormat="1" x14ac:dyDescent="0.2">
      <c r="A384" s="28"/>
      <c r="B384" s="29"/>
      <c r="C384" s="30" t="str">
        <f t="shared" si="33"/>
        <v/>
      </c>
      <c r="D384" s="31"/>
      <c r="E384" s="31"/>
      <c r="F384" s="32"/>
      <c r="G384" s="33" t="str">
        <f t="shared" si="34"/>
        <v/>
      </c>
      <c r="H384" s="32" t="str">
        <f t="shared" si="31"/>
        <v/>
      </c>
      <c r="I384" s="44"/>
      <c r="J384" s="31" t="str">
        <f t="shared" si="32"/>
        <v/>
      </c>
      <c r="K384" s="34"/>
      <c r="L384" s="35"/>
      <c r="M384" s="34"/>
      <c r="N384" s="34"/>
      <c r="O384" s="2" t="str">
        <f t="shared" si="30"/>
        <v xml:space="preserve"> </v>
      </c>
    </row>
    <row r="385" spans="1:15" s="2" customFormat="1" x14ac:dyDescent="0.2">
      <c r="A385" s="28"/>
      <c r="B385" s="29"/>
      <c r="C385" s="30" t="str">
        <f t="shared" si="33"/>
        <v/>
      </c>
      <c r="D385" s="31"/>
      <c r="E385" s="31"/>
      <c r="F385" s="32"/>
      <c r="G385" s="33" t="str">
        <f t="shared" si="34"/>
        <v/>
      </c>
      <c r="H385" s="32" t="str">
        <f t="shared" si="31"/>
        <v/>
      </c>
      <c r="I385" s="44"/>
      <c r="J385" s="31" t="str">
        <f t="shared" si="32"/>
        <v/>
      </c>
      <c r="K385" s="34"/>
      <c r="L385" s="35"/>
      <c r="M385" s="34"/>
      <c r="N385" s="34"/>
      <c r="O385" s="2" t="str">
        <f t="shared" si="30"/>
        <v xml:space="preserve"> </v>
      </c>
    </row>
    <row r="386" spans="1:15" s="2" customFormat="1" x14ac:dyDescent="0.2">
      <c r="A386" s="28"/>
      <c r="B386" s="29"/>
      <c r="C386" s="30" t="str">
        <f t="shared" si="33"/>
        <v/>
      </c>
      <c r="D386" s="31"/>
      <c r="E386" s="31"/>
      <c r="F386" s="32"/>
      <c r="G386" s="33" t="str">
        <f t="shared" si="34"/>
        <v/>
      </c>
      <c r="H386" s="32" t="str">
        <f t="shared" si="31"/>
        <v/>
      </c>
      <c r="I386" s="44"/>
      <c r="J386" s="31" t="str">
        <f t="shared" si="32"/>
        <v/>
      </c>
      <c r="K386" s="34"/>
      <c r="L386" s="35"/>
      <c r="M386" s="34"/>
      <c r="N386" s="34"/>
      <c r="O386" s="2" t="str">
        <f t="shared" si="30"/>
        <v xml:space="preserve"> </v>
      </c>
    </row>
    <row r="387" spans="1:15" s="2" customFormat="1" x14ac:dyDescent="0.2">
      <c r="A387" s="28"/>
      <c r="B387" s="29"/>
      <c r="C387" s="30" t="str">
        <f t="shared" si="33"/>
        <v/>
      </c>
      <c r="D387" s="31"/>
      <c r="E387" s="31"/>
      <c r="F387" s="32"/>
      <c r="G387" s="33" t="str">
        <f t="shared" si="34"/>
        <v/>
      </c>
      <c r="H387" s="32" t="str">
        <f t="shared" si="31"/>
        <v/>
      </c>
      <c r="I387" s="44"/>
      <c r="J387" s="31" t="str">
        <f t="shared" si="32"/>
        <v/>
      </c>
      <c r="K387" s="34"/>
      <c r="L387" s="35"/>
      <c r="M387" s="34"/>
      <c r="N387" s="34"/>
      <c r="O387" s="2" t="str">
        <f t="shared" si="30"/>
        <v xml:space="preserve"> </v>
      </c>
    </row>
    <row r="388" spans="1:15" s="2" customFormat="1" x14ac:dyDescent="0.2">
      <c r="A388" s="28"/>
      <c r="B388" s="29"/>
      <c r="C388" s="30" t="str">
        <f t="shared" si="33"/>
        <v/>
      </c>
      <c r="D388" s="31"/>
      <c r="E388" s="31"/>
      <c r="F388" s="32"/>
      <c r="G388" s="33" t="str">
        <f t="shared" si="34"/>
        <v/>
      </c>
      <c r="H388" s="32" t="str">
        <f t="shared" si="31"/>
        <v/>
      </c>
      <c r="I388" s="44"/>
      <c r="J388" s="31" t="str">
        <f t="shared" si="32"/>
        <v/>
      </c>
      <c r="K388" s="34"/>
      <c r="L388" s="35"/>
      <c r="M388" s="34"/>
      <c r="N388" s="34"/>
      <c r="O388" s="2" t="str">
        <f t="shared" si="30"/>
        <v xml:space="preserve"> </v>
      </c>
    </row>
    <row r="389" spans="1:15" s="2" customFormat="1" x14ac:dyDescent="0.2">
      <c r="A389" s="28"/>
      <c r="B389" s="29"/>
      <c r="C389" s="30" t="str">
        <f t="shared" si="33"/>
        <v/>
      </c>
      <c r="D389" s="31"/>
      <c r="E389" s="31"/>
      <c r="F389" s="32"/>
      <c r="G389" s="33" t="str">
        <f t="shared" si="34"/>
        <v/>
      </c>
      <c r="H389" s="32" t="str">
        <f t="shared" si="31"/>
        <v/>
      </c>
      <c r="I389" s="44"/>
      <c r="J389" s="31" t="str">
        <f t="shared" si="32"/>
        <v/>
      </c>
      <c r="K389" s="34"/>
      <c r="L389" s="35"/>
      <c r="M389" s="34"/>
      <c r="N389" s="34"/>
      <c r="O389" s="2" t="str">
        <f t="shared" si="30"/>
        <v xml:space="preserve"> </v>
      </c>
    </row>
    <row r="390" spans="1:15" s="2" customFormat="1" x14ac:dyDescent="0.2">
      <c r="A390" s="28"/>
      <c r="B390" s="29"/>
      <c r="C390" s="30" t="str">
        <f t="shared" si="33"/>
        <v/>
      </c>
      <c r="D390" s="31"/>
      <c r="E390" s="31"/>
      <c r="F390" s="32"/>
      <c r="G390" s="33" t="str">
        <f t="shared" si="34"/>
        <v/>
      </c>
      <c r="H390" s="32" t="str">
        <f t="shared" si="31"/>
        <v/>
      </c>
      <c r="I390" s="44"/>
      <c r="J390" s="31" t="str">
        <f t="shared" si="32"/>
        <v/>
      </c>
      <c r="K390" s="34"/>
      <c r="L390" s="35"/>
      <c r="M390" s="34"/>
      <c r="N390" s="34"/>
      <c r="O390" s="2" t="str">
        <f t="shared" ref="O390:O452" si="35">CONCATENATE(K390," ",N390)</f>
        <v xml:space="preserve"> </v>
      </c>
    </row>
    <row r="391" spans="1:15" s="2" customFormat="1" x14ac:dyDescent="0.2">
      <c r="A391" s="28"/>
      <c r="B391" s="29"/>
      <c r="C391" s="30" t="str">
        <f t="shared" si="33"/>
        <v/>
      </c>
      <c r="D391" s="31"/>
      <c r="E391" s="31"/>
      <c r="F391" s="32"/>
      <c r="G391" s="33" t="str">
        <f t="shared" si="34"/>
        <v/>
      </c>
      <c r="H391" s="32" t="str">
        <f t="shared" ref="H391:H454" si="36">IF(F391&lt;&gt;"",ABS(F391),"")</f>
        <v/>
      </c>
      <c r="I391" s="44"/>
      <c r="J391" s="31" t="str">
        <f t="shared" ref="J391:J454" si="37">IF(F391=0,"",IF(F391&lt;0,"PAGAMENTO","RECEBIMENTO"))</f>
        <v/>
      </c>
      <c r="K391" s="34"/>
      <c r="L391" s="35"/>
      <c r="M391" s="34"/>
      <c r="N391" s="34"/>
      <c r="O391" s="2" t="str">
        <f t="shared" si="35"/>
        <v xml:space="preserve"> </v>
      </c>
    </row>
    <row r="392" spans="1:15" s="2" customFormat="1" x14ac:dyDescent="0.2">
      <c r="A392" s="28"/>
      <c r="B392" s="29"/>
      <c r="C392" s="30" t="str">
        <f t="shared" si="33"/>
        <v/>
      </c>
      <c r="D392" s="31"/>
      <c r="E392" s="31"/>
      <c r="F392" s="32"/>
      <c r="G392" s="33" t="str">
        <f t="shared" si="34"/>
        <v/>
      </c>
      <c r="H392" s="32" t="str">
        <f t="shared" si="36"/>
        <v/>
      </c>
      <c r="I392" s="44"/>
      <c r="J392" s="31" t="str">
        <f t="shared" si="37"/>
        <v/>
      </c>
      <c r="K392" s="34"/>
      <c r="L392" s="35"/>
      <c r="M392" s="34"/>
      <c r="N392" s="34"/>
      <c r="O392" s="2" t="str">
        <f t="shared" si="35"/>
        <v xml:space="preserve"> </v>
      </c>
    </row>
    <row r="393" spans="1:15" s="2" customFormat="1" x14ac:dyDescent="0.2">
      <c r="A393" s="28"/>
      <c r="B393" s="29"/>
      <c r="C393" s="30" t="str">
        <f t="shared" si="33"/>
        <v/>
      </c>
      <c r="D393" s="31"/>
      <c r="E393" s="31"/>
      <c r="F393" s="32"/>
      <c r="G393" s="38" t="str">
        <f t="shared" si="34"/>
        <v/>
      </c>
      <c r="H393" s="32" t="str">
        <f t="shared" si="36"/>
        <v/>
      </c>
      <c r="I393" s="44"/>
      <c r="J393" s="31" t="str">
        <f t="shared" si="37"/>
        <v/>
      </c>
      <c r="K393" s="34"/>
      <c r="L393" s="35"/>
      <c r="M393" s="34"/>
      <c r="N393" s="34"/>
      <c r="O393" s="2" t="str">
        <f t="shared" si="35"/>
        <v xml:space="preserve"> </v>
      </c>
    </row>
    <row r="394" spans="1:15" s="2" customFormat="1" x14ac:dyDescent="0.2">
      <c r="A394" s="28"/>
      <c r="B394" s="29"/>
      <c r="C394" s="30" t="str">
        <f t="shared" ref="C394:C457" si="38">IF(B394="","",TEXT(DAY(B394),"00")&amp;"/"&amp;TEXT(MONTH(B394),"00"))</f>
        <v/>
      </c>
      <c r="D394" s="31"/>
      <c r="E394" s="31"/>
      <c r="F394" s="32"/>
      <c r="G394" s="33" t="str">
        <f t="shared" si="34"/>
        <v/>
      </c>
      <c r="H394" s="32" t="str">
        <f t="shared" si="36"/>
        <v/>
      </c>
      <c r="I394" s="44"/>
      <c r="J394" s="31" t="str">
        <f t="shared" si="37"/>
        <v/>
      </c>
      <c r="K394" s="34"/>
      <c r="L394" s="35"/>
      <c r="M394" s="34"/>
      <c r="N394" s="34"/>
      <c r="O394" s="2" t="str">
        <f t="shared" si="35"/>
        <v xml:space="preserve"> </v>
      </c>
    </row>
    <row r="395" spans="1:15" s="2" customFormat="1" x14ac:dyDescent="0.2">
      <c r="A395" s="28"/>
      <c r="B395" s="29"/>
      <c r="C395" s="30" t="str">
        <f t="shared" si="38"/>
        <v/>
      </c>
      <c r="D395" s="31"/>
      <c r="E395" s="31"/>
      <c r="F395" s="32"/>
      <c r="G395" s="33" t="str">
        <f t="shared" si="34"/>
        <v/>
      </c>
      <c r="H395" s="32" t="str">
        <f t="shared" si="36"/>
        <v/>
      </c>
      <c r="I395" s="44"/>
      <c r="J395" s="31" t="str">
        <f t="shared" si="37"/>
        <v/>
      </c>
      <c r="K395" s="34"/>
      <c r="L395" s="35"/>
      <c r="M395" s="34"/>
      <c r="N395" s="34"/>
      <c r="O395" s="2" t="str">
        <f t="shared" si="35"/>
        <v xml:space="preserve"> </v>
      </c>
    </row>
    <row r="396" spans="1:15" s="2" customFormat="1" x14ac:dyDescent="0.2">
      <c r="A396" s="28"/>
      <c r="B396" s="29"/>
      <c r="C396" s="30" t="str">
        <f t="shared" si="38"/>
        <v/>
      </c>
      <c r="D396" s="31"/>
      <c r="E396" s="31"/>
      <c r="F396" s="32"/>
      <c r="G396" s="33" t="str">
        <f t="shared" si="34"/>
        <v/>
      </c>
      <c r="H396" s="32" t="str">
        <f t="shared" si="36"/>
        <v/>
      </c>
      <c r="I396" s="44"/>
      <c r="J396" s="31" t="str">
        <f t="shared" si="37"/>
        <v/>
      </c>
      <c r="K396" s="34"/>
      <c r="L396" s="35"/>
      <c r="M396" s="34"/>
      <c r="N396" s="34"/>
      <c r="O396" s="2" t="str">
        <f t="shared" si="35"/>
        <v xml:space="preserve"> </v>
      </c>
    </row>
    <row r="397" spans="1:15" s="2" customFormat="1" x14ac:dyDescent="0.2">
      <c r="A397" s="28"/>
      <c r="B397" s="29"/>
      <c r="C397" s="30" t="str">
        <f t="shared" si="38"/>
        <v/>
      </c>
      <c r="D397" s="31"/>
      <c r="E397" s="31"/>
      <c r="F397" s="32"/>
      <c r="G397" s="33" t="str">
        <f t="shared" ref="G397:G460" si="39">IF(F397&lt;&gt;"",F397+G396,"")</f>
        <v/>
      </c>
      <c r="H397" s="32" t="str">
        <f t="shared" si="36"/>
        <v/>
      </c>
      <c r="I397" s="44"/>
      <c r="J397" s="31" t="str">
        <f t="shared" si="37"/>
        <v/>
      </c>
      <c r="K397" s="34"/>
      <c r="L397" s="35"/>
      <c r="M397" s="34"/>
      <c r="N397" s="34"/>
      <c r="O397" s="2" t="str">
        <f t="shared" si="35"/>
        <v xml:space="preserve"> </v>
      </c>
    </row>
    <row r="398" spans="1:15" s="2" customFormat="1" x14ac:dyDescent="0.2">
      <c r="A398" s="28"/>
      <c r="B398" s="29"/>
      <c r="C398" s="30" t="str">
        <f t="shared" si="38"/>
        <v/>
      </c>
      <c r="D398" s="31"/>
      <c r="E398" s="31"/>
      <c r="F398" s="32"/>
      <c r="G398" s="33" t="str">
        <f t="shared" si="39"/>
        <v/>
      </c>
      <c r="H398" s="32" t="str">
        <f t="shared" si="36"/>
        <v/>
      </c>
      <c r="I398" s="44"/>
      <c r="J398" s="31" t="str">
        <f t="shared" si="37"/>
        <v/>
      </c>
      <c r="K398" s="34"/>
      <c r="L398" s="35"/>
      <c r="M398" s="34"/>
      <c r="N398" s="34"/>
      <c r="O398" s="2" t="str">
        <f t="shared" si="35"/>
        <v xml:space="preserve"> </v>
      </c>
    </row>
    <row r="399" spans="1:15" s="2" customFormat="1" x14ac:dyDescent="0.2">
      <c r="A399" s="28"/>
      <c r="B399" s="29"/>
      <c r="C399" s="30" t="str">
        <f t="shared" si="38"/>
        <v/>
      </c>
      <c r="D399" s="31"/>
      <c r="E399" s="31"/>
      <c r="F399" s="32"/>
      <c r="G399" s="33" t="str">
        <f t="shared" si="39"/>
        <v/>
      </c>
      <c r="H399" s="32" t="str">
        <f t="shared" si="36"/>
        <v/>
      </c>
      <c r="I399" s="44"/>
      <c r="J399" s="31" t="str">
        <f t="shared" si="37"/>
        <v/>
      </c>
      <c r="K399" s="34"/>
      <c r="L399" s="35"/>
      <c r="M399" s="34"/>
      <c r="N399" s="34"/>
      <c r="O399" s="2" t="str">
        <f t="shared" si="35"/>
        <v xml:space="preserve"> </v>
      </c>
    </row>
    <row r="400" spans="1:15" s="2" customFormat="1" x14ac:dyDescent="0.2">
      <c r="A400" s="28"/>
      <c r="B400" s="29"/>
      <c r="C400" s="30" t="str">
        <f t="shared" si="38"/>
        <v/>
      </c>
      <c r="D400" s="31"/>
      <c r="E400" s="31"/>
      <c r="F400" s="32"/>
      <c r="G400" s="33" t="str">
        <f t="shared" si="39"/>
        <v/>
      </c>
      <c r="H400" s="32" t="str">
        <f t="shared" si="36"/>
        <v/>
      </c>
      <c r="I400" s="44"/>
      <c r="J400" s="31" t="str">
        <f t="shared" si="37"/>
        <v/>
      </c>
      <c r="K400" s="34"/>
      <c r="L400" s="35"/>
      <c r="M400" s="34"/>
      <c r="N400" s="34"/>
      <c r="O400" s="2" t="str">
        <f t="shared" si="35"/>
        <v xml:space="preserve"> </v>
      </c>
    </row>
    <row r="401" spans="1:15" s="2" customFormat="1" x14ac:dyDescent="0.2">
      <c r="A401" s="28"/>
      <c r="B401" s="29"/>
      <c r="C401" s="30" t="str">
        <f t="shared" si="38"/>
        <v/>
      </c>
      <c r="D401" s="31"/>
      <c r="E401" s="31"/>
      <c r="F401" s="32"/>
      <c r="G401" s="33" t="str">
        <f t="shared" si="39"/>
        <v/>
      </c>
      <c r="H401" s="32" t="str">
        <f t="shared" si="36"/>
        <v/>
      </c>
      <c r="I401" s="44"/>
      <c r="J401" s="31" t="str">
        <f t="shared" si="37"/>
        <v/>
      </c>
      <c r="K401" s="34"/>
      <c r="L401" s="35"/>
      <c r="M401" s="34"/>
      <c r="N401" s="34"/>
      <c r="O401" s="2" t="str">
        <f t="shared" si="35"/>
        <v xml:space="preserve"> </v>
      </c>
    </row>
    <row r="402" spans="1:15" s="2" customFormat="1" x14ac:dyDescent="0.2">
      <c r="A402" s="28"/>
      <c r="B402" s="29"/>
      <c r="C402" s="30" t="str">
        <f t="shared" si="38"/>
        <v/>
      </c>
      <c r="D402" s="31"/>
      <c r="E402" s="31"/>
      <c r="F402" s="32"/>
      <c r="G402" s="33" t="str">
        <f t="shared" si="39"/>
        <v/>
      </c>
      <c r="H402" s="32" t="str">
        <f t="shared" si="36"/>
        <v/>
      </c>
      <c r="I402" s="44"/>
      <c r="J402" s="31" t="str">
        <f t="shared" si="37"/>
        <v/>
      </c>
      <c r="K402" s="34"/>
      <c r="L402" s="35"/>
      <c r="M402" s="34"/>
      <c r="N402" s="34"/>
      <c r="O402" s="2" t="str">
        <f t="shared" si="35"/>
        <v xml:space="preserve"> </v>
      </c>
    </row>
    <row r="403" spans="1:15" s="2" customFormat="1" x14ac:dyDescent="0.2">
      <c r="A403" s="28"/>
      <c r="B403" s="29"/>
      <c r="C403" s="30" t="str">
        <f t="shared" si="38"/>
        <v/>
      </c>
      <c r="D403" s="31"/>
      <c r="E403" s="31"/>
      <c r="F403" s="32"/>
      <c r="G403" s="38" t="str">
        <f t="shared" si="39"/>
        <v/>
      </c>
      <c r="H403" s="32" t="str">
        <f t="shared" si="36"/>
        <v/>
      </c>
      <c r="I403" s="44"/>
      <c r="J403" s="31" t="str">
        <f t="shared" si="37"/>
        <v/>
      </c>
      <c r="K403" s="34"/>
      <c r="L403" s="35"/>
      <c r="M403" s="34"/>
      <c r="N403" s="34"/>
      <c r="O403" s="2" t="str">
        <f t="shared" si="35"/>
        <v xml:space="preserve"> </v>
      </c>
    </row>
    <row r="404" spans="1:15" s="2" customFormat="1" x14ac:dyDescent="0.2">
      <c r="A404" s="28"/>
      <c r="B404" s="29"/>
      <c r="C404" s="30" t="str">
        <f t="shared" si="38"/>
        <v/>
      </c>
      <c r="D404" s="31"/>
      <c r="E404" s="31"/>
      <c r="F404" s="32"/>
      <c r="G404" s="33" t="str">
        <f t="shared" si="39"/>
        <v/>
      </c>
      <c r="H404" s="32" t="str">
        <f t="shared" si="36"/>
        <v/>
      </c>
      <c r="I404" s="44"/>
      <c r="J404" s="31" t="str">
        <f t="shared" si="37"/>
        <v/>
      </c>
      <c r="K404" s="34"/>
      <c r="L404" s="35"/>
      <c r="M404" s="34"/>
      <c r="N404" s="34"/>
      <c r="O404" s="2" t="str">
        <f t="shared" si="35"/>
        <v xml:space="preserve"> </v>
      </c>
    </row>
    <row r="405" spans="1:15" s="2" customFormat="1" x14ac:dyDescent="0.2">
      <c r="A405" s="28"/>
      <c r="B405" s="29"/>
      <c r="C405" s="30" t="str">
        <f t="shared" si="38"/>
        <v/>
      </c>
      <c r="D405" s="31"/>
      <c r="E405" s="31"/>
      <c r="F405" s="32"/>
      <c r="G405" s="33" t="str">
        <f t="shared" si="39"/>
        <v/>
      </c>
      <c r="H405" s="32" t="str">
        <f t="shared" si="36"/>
        <v/>
      </c>
      <c r="I405" s="44"/>
      <c r="J405" s="31" t="str">
        <f t="shared" si="37"/>
        <v/>
      </c>
      <c r="K405" s="34"/>
      <c r="L405" s="35"/>
      <c r="M405" s="34"/>
      <c r="N405" s="34"/>
      <c r="O405" s="2" t="str">
        <f t="shared" si="35"/>
        <v xml:space="preserve"> </v>
      </c>
    </row>
    <row r="406" spans="1:15" s="2" customFormat="1" x14ac:dyDescent="0.2">
      <c r="A406" s="28"/>
      <c r="B406" s="29"/>
      <c r="C406" s="30" t="str">
        <f t="shared" si="38"/>
        <v/>
      </c>
      <c r="D406" s="31"/>
      <c r="E406" s="31"/>
      <c r="F406" s="32"/>
      <c r="G406" s="33" t="str">
        <f t="shared" si="39"/>
        <v/>
      </c>
      <c r="H406" s="32" t="str">
        <f t="shared" si="36"/>
        <v/>
      </c>
      <c r="I406" s="44"/>
      <c r="J406" s="31" t="str">
        <f t="shared" si="37"/>
        <v/>
      </c>
      <c r="K406" s="34"/>
      <c r="L406" s="35"/>
      <c r="M406" s="34"/>
      <c r="N406" s="34"/>
      <c r="O406" s="2" t="str">
        <f t="shared" si="35"/>
        <v xml:space="preserve"> </v>
      </c>
    </row>
    <row r="407" spans="1:15" s="2" customFormat="1" x14ac:dyDescent="0.2">
      <c r="A407" s="28"/>
      <c r="B407" s="29"/>
      <c r="C407" s="30" t="str">
        <f t="shared" si="38"/>
        <v/>
      </c>
      <c r="D407" s="31"/>
      <c r="E407" s="31"/>
      <c r="F407" s="32"/>
      <c r="G407" s="33" t="str">
        <f t="shared" si="39"/>
        <v/>
      </c>
      <c r="H407" s="32" t="str">
        <f t="shared" si="36"/>
        <v/>
      </c>
      <c r="I407" s="44"/>
      <c r="J407" s="31" t="str">
        <f t="shared" si="37"/>
        <v/>
      </c>
      <c r="K407" s="34"/>
      <c r="L407" s="35"/>
      <c r="M407" s="34"/>
      <c r="N407" s="34"/>
      <c r="O407" s="2" t="str">
        <f t="shared" si="35"/>
        <v xml:space="preserve"> </v>
      </c>
    </row>
    <row r="408" spans="1:15" s="2" customFormat="1" x14ac:dyDescent="0.2">
      <c r="A408" s="28"/>
      <c r="B408" s="29"/>
      <c r="C408" s="30" t="str">
        <f t="shared" si="38"/>
        <v/>
      </c>
      <c r="D408" s="31"/>
      <c r="E408" s="31"/>
      <c r="F408" s="32"/>
      <c r="G408" s="33" t="str">
        <f t="shared" si="39"/>
        <v/>
      </c>
      <c r="H408" s="32" t="str">
        <f t="shared" si="36"/>
        <v/>
      </c>
      <c r="I408" s="44"/>
      <c r="J408" s="31" t="str">
        <f t="shared" si="37"/>
        <v/>
      </c>
      <c r="K408" s="34"/>
      <c r="L408" s="35"/>
      <c r="M408" s="34"/>
      <c r="N408" s="34"/>
      <c r="O408" s="2" t="str">
        <f t="shared" si="35"/>
        <v xml:space="preserve"> </v>
      </c>
    </row>
    <row r="409" spans="1:15" s="2" customFormat="1" x14ac:dyDescent="0.2">
      <c r="A409" s="28"/>
      <c r="B409" s="29"/>
      <c r="C409" s="30" t="str">
        <f t="shared" si="38"/>
        <v/>
      </c>
      <c r="D409" s="31"/>
      <c r="E409" s="31"/>
      <c r="F409" s="32"/>
      <c r="G409" s="33" t="str">
        <f t="shared" si="39"/>
        <v/>
      </c>
      <c r="H409" s="32" t="str">
        <f t="shared" si="36"/>
        <v/>
      </c>
      <c r="I409" s="44"/>
      <c r="J409" s="31" t="str">
        <f t="shared" si="37"/>
        <v/>
      </c>
      <c r="K409" s="34"/>
      <c r="L409" s="35"/>
      <c r="M409" s="34"/>
      <c r="N409" s="34"/>
      <c r="O409" s="2" t="str">
        <f t="shared" si="35"/>
        <v xml:space="preserve"> </v>
      </c>
    </row>
    <row r="410" spans="1:15" s="2" customFormat="1" x14ac:dyDescent="0.2">
      <c r="A410" s="28"/>
      <c r="B410" s="29"/>
      <c r="C410" s="30" t="str">
        <f t="shared" si="38"/>
        <v/>
      </c>
      <c r="D410" s="31"/>
      <c r="E410" s="31"/>
      <c r="F410" s="32"/>
      <c r="G410" s="33" t="str">
        <f t="shared" si="39"/>
        <v/>
      </c>
      <c r="H410" s="32" t="str">
        <f t="shared" si="36"/>
        <v/>
      </c>
      <c r="I410" s="44"/>
      <c r="J410" s="31" t="str">
        <f t="shared" si="37"/>
        <v/>
      </c>
      <c r="K410" s="34"/>
      <c r="L410" s="35"/>
      <c r="M410" s="34"/>
      <c r="N410" s="34"/>
      <c r="O410" s="2" t="str">
        <f t="shared" si="35"/>
        <v xml:space="preserve"> </v>
      </c>
    </row>
    <row r="411" spans="1:15" s="2" customFormat="1" x14ac:dyDescent="0.2">
      <c r="A411" s="28"/>
      <c r="B411" s="29"/>
      <c r="C411" s="30" t="str">
        <f t="shared" si="38"/>
        <v/>
      </c>
      <c r="D411" s="31"/>
      <c r="E411" s="31"/>
      <c r="F411" s="32"/>
      <c r="G411" s="33" t="str">
        <f t="shared" si="39"/>
        <v/>
      </c>
      <c r="H411" s="32" t="str">
        <f t="shared" si="36"/>
        <v/>
      </c>
      <c r="I411" s="44"/>
      <c r="J411" s="31" t="str">
        <f t="shared" si="37"/>
        <v/>
      </c>
      <c r="K411" s="34"/>
      <c r="L411" s="35"/>
      <c r="M411" s="34"/>
      <c r="N411" s="34"/>
      <c r="O411" s="2" t="str">
        <f t="shared" si="35"/>
        <v xml:space="preserve"> </v>
      </c>
    </row>
    <row r="412" spans="1:15" s="2" customFormat="1" x14ac:dyDescent="0.2">
      <c r="A412" s="28"/>
      <c r="B412" s="29"/>
      <c r="C412" s="30" t="str">
        <f t="shared" si="38"/>
        <v/>
      </c>
      <c r="D412" s="31"/>
      <c r="E412" s="31"/>
      <c r="F412" s="32"/>
      <c r="G412" s="33" t="str">
        <f t="shared" si="39"/>
        <v/>
      </c>
      <c r="H412" s="32" t="str">
        <f t="shared" si="36"/>
        <v/>
      </c>
      <c r="I412" s="44"/>
      <c r="J412" s="31" t="str">
        <f t="shared" si="37"/>
        <v/>
      </c>
      <c r="K412" s="34"/>
      <c r="L412" s="35"/>
      <c r="M412" s="34"/>
      <c r="N412" s="34"/>
      <c r="O412" s="2" t="str">
        <f t="shared" si="35"/>
        <v xml:space="preserve"> </v>
      </c>
    </row>
    <row r="413" spans="1:15" s="2" customFormat="1" x14ac:dyDescent="0.2">
      <c r="A413" s="28"/>
      <c r="B413" s="29"/>
      <c r="C413" s="30" t="str">
        <f t="shared" si="38"/>
        <v/>
      </c>
      <c r="D413" s="31"/>
      <c r="E413" s="31"/>
      <c r="F413" s="32"/>
      <c r="G413" s="33" t="str">
        <f t="shared" si="39"/>
        <v/>
      </c>
      <c r="H413" s="32" t="str">
        <f t="shared" si="36"/>
        <v/>
      </c>
      <c r="I413" s="44"/>
      <c r="J413" s="31" t="str">
        <f t="shared" si="37"/>
        <v/>
      </c>
      <c r="K413" s="34"/>
      <c r="L413" s="35"/>
      <c r="M413" s="34"/>
      <c r="N413" s="34"/>
      <c r="O413" s="2" t="str">
        <f t="shared" si="35"/>
        <v xml:space="preserve"> </v>
      </c>
    </row>
    <row r="414" spans="1:15" s="2" customFormat="1" x14ac:dyDescent="0.2">
      <c r="A414" s="28"/>
      <c r="B414" s="29"/>
      <c r="C414" s="30" t="str">
        <f t="shared" si="38"/>
        <v/>
      </c>
      <c r="D414" s="31"/>
      <c r="E414" s="31"/>
      <c r="F414" s="32"/>
      <c r="G414" s="33" t="str">
        <f t="shared" si="39"/>
        <v/>
      </c>
      <c r="H414" s="32" t="str">
        <f t="shared" si="36"/>
        <v/>
      </c>
      <c r="I414" s="44"/>
      <c r="J414" s="31" t="str">
        <f t="shared" si="37"/>
        <v/>
      </c>
      <c r="K414" s="34"/>
      <c r="L414" s="35"/>
      <c r="M414" s="34"/>
      <c r="N414" s="34"/>
      <c r="O414" s="2" t="str">
        <f t="shared" si="35"/>
        <v xml:space="preserve"> </v>
      </c>
    </row>
    <row r="415" spans="1:15" s="2" customFormat="1" x14ac:dyDescent="0.2">
      <c r="A415" s="28"/>
      <c r="B415" s="29"/>
      <c r="C415" s="30" t="str">
        <f t="shared" si="38"/>
        <v/>
      </c>
      <c r="D415" s="31"/>
      <c r="E415" s="31"/>
      <c r="F415" s="32"/>
      <c r="G415" s="33" t="str">
        <f t="shared" si="39"/>
        <v/>
      </c>
      <c r="H415" s="32" t="str">
        <f t="shared" si="36"/>
        <v/>
      </c>
      <c r="I415" s="44"/>
      <c r="J415" s="31" t="str">
        <f t="shared" si="37"/>
        <v/>
      </c>
      <c r="K415" s="34"/>
      <c r="L415" s="35"/>
      <c r="M415" s="34"/>
      <c r="N415" s="34"/>
      <c r="O415" s="2" t="str">
        <f t="shared" si="35"/>
        <v xml:space="preserve"> </v>
      </c>
    </row>
    <row r="416" spans="1:15" s="2" customFormat="1" x14ac:dyDescent="0.2">
      <c r="A416" s="28"/>
      <c r="B416" s="29"/>
      <c r="C416" s="30" t="str">
        <f t="shared" si="38"/>
        <v/>
      </c>
      <c r="D416" s="31"/>
      <c r="E416" s="31"/>
      <c r="F416" s="32"/>
      <c r="G416" s="33" t="str">
        <f t="shared" si="39"/>
        <v/>
      </c>
      <c r="H416" s="32" t="str">
        <f t="shared" si="36"/>
        <v/>
      </c>
      <c r="I416" s="44"/>
      <c r="J416" s="31" t="str">
        <f t="shared" si="37"/>
        <v/>
      </c>
      <c r="K416" s="34"/>
      <c r="L416" s="35"/>
      <c r="M416" s="34"/>
      <c r="N416" s="34"/>
      <c r="O416" s="2" t="str">
        <f t="shared" si="35"/>
        <v xml:space="preserve"> </v>
      </c>
    </row>
    <row r="417" spans="1:15" s="2" customFormat="1" x14ac:dyDescent="0.2">
      <c r="A417" s="28"/>
      <c r="B417" s="29"/>
      <c r="C417" s="30" t="str">
        <f t="shared" si="38"/>
        <v/>
      </c>
      <c r="D417" s="31"/>
      <c r="E417" s="31"/>
      <c r="F417" s="32"/>
      <c r="G417" s="33" t="str">
        <f t="shared" si="39"/>
        <v/>
      </c>
      <c r="H417" s="32" t="str">
        <f t="shared" si="36"/>
        <v/>
      </c>
      <c r="I417" s="44"/>
      <c r="J417" s="31" t="str">
        <f t="shared" si="37"/>
        <v/>
      </c>
      <c r="K417" s="34"/>
      <c r="L417" s="35"/>
      <c r="M417" s="34"/>
      <c r="N417" s="34"/>
      <c r="O417" s="2" t="str">
        <f t="shared" si="35"/>
        <v xml:space="preserve"> </v>
      </c>
    </row>
    <row r="418" spans="1:15" s="2" customFormat="1" x14ac:dyDescent="0.2">
      <c r="A418" s="28"/>
      <c r="B418" s="29"/>
      <c r="C418" s="30" t="str">
        <f t="shared" si="38"/>
        <v/>
      </c>
      <c r="D418" s="31"/>
      <c r="E418" s="31"/>
      <c r="F418" s="32"/>
      <c r="G418" s="33" t="str">
        <f t="shared" si="39"/>
        <v/>
      </c>
      <c r="H418" s="32" t="str">
        <f t="shared" si="36"/>
        <v/>
      </c>
      <c r="I418" s="44"/>
      <c r="J418" s="31" t="str">
        <f t="shared" si="37"/>
        <v/>
      </c>
      <c r="K418" s="34"/>
      <c r="L418" s="35"/>
      <c r="M418" s="34"/>
      <c r="N418" s="34"/>
      <c r="O418" s="2" t="str">
        <f t="shared" si="35"/>
        <v xml:space="preserve"> </v>
      </c>
    </row>
    <row r="419" spans="1:15" s="2" customFormat="1" x14ac:dyDescent="0.2">
      <c r="A419" s="28"/>
      <c r="B419" s="29"/>
      <c r="C419" s="30" t="str">
        <f t="shared" si="38"/>
        <v/>
      </c>
      <c r="D419" s="31"/>
      <c r="E419" s="31"/>
      <c r="F419" s="32"/>
      <c r="G419" s="33" t="str">
        <f t="shared" si="39"/>
        <v/>
      </c>
      <c r="H419" s="32" t="str">
        <f t="shared" si="36"/>
        <v/>
      </c>
      <c r="I419" s="44"/>
      <c r="J419" s="31" t="str">
        <f t="shared" si="37"/>
        <v/>
      </c>
      <c r="K419" s="34"/>
      <c r="L419" s="35"/>
      <c r="M419" s="34"/>
      <c r="N419" s="34"/>
      <c r="O419" s="2" t="str">
        <f t="shared" si="35"/>
        <v xml:space="preserve"> </v>
      </c>
    </row>
    <row r="420" spans="1:15" s="2" customFormat="1" x14ac:dyDescent="0.2">
      <c r="A420" s="28"/>
      <c r="B420" s="29"/>
      <c r="C420" s="30" t="str">
        <f t="shared" si="38"/>
        <v/>
      </c>
      <c r="D420" s="31"/>
      <c r="E420" s="31"/>
      <c r="F420" s="32"/>
      <c r="G420" s="33" t="str">
        <f t="shared" si="39"/>
        <v/>
      </c>
      <c r="H420" s="32" t="str">
        <f t="shared" si="36"/>
        <v/>
      </c>
      <c r="I420" s="44"/>
      <c r="J420" s="31" t="str">
        <f t="shared" si="37"/>
        <v/>
      </c>
      <c r="K420" s="34"/>
      <c r="L420" s="35"/>
      <c r="M420" s="34"/>
      <c r="N420" s="34"/>
      <c r="O420" s="2" t="str">
        <f t="shared" si="35"/>
        <v xml:space="preserve"> </v>
      </c>
    </row>
    <row r="421" spans="1:15" s="2" customFormat="1" x14ac:dyDescent="0.2">
      <c r="A421" s="28"/>
      <c r="B421" s="29"/>
      <c r="C421" s="30" t="str">
        <f t="shared" si="38"/>
        <v/>
      </c>
      <c r="D421" s="31"/>
      <c r="E421" s="31"/>
      <c r="F421" s="32"/>
      <c r="G421" s="33" t="str">
        <f t="shared" si="39"/>
        <v/>
      </c>
      <c r="H421" s="32" t="str">
        <f t="shared" si="36"/>
        <v/>
      </c>
      <c r="I421" s="44"/>
      <c r="J421" s="31" t="str">
        <f t="shared" si="37"/>
        <v/>
      </c>
      <c r="K421" s="34"/>
      <c r="L421" s="35"/>
      <c r="M421" s="34"/>
      <c r="N421" s="34"/>
      <c r="O421" s="2" t="str">
        <f t="shared" si="35"/>
        <v xml:space="preserve"> </v>
      </c>
    </row>
    <row r="422" spans="1:15" s="2" customFormat="1" x14ac:dyDescent="0.2">
      <c r="A422" s="28"/>
      <c r="B422" s="29"/>
      <c r="C422" s="30" t="str">
        <f t="shared" si="38"/>
        <v/>
      </c>
      <c r="D422" s="31"/>
      <c r="E422" s="31"/>
      <c r="F422" s="32"/>
      <c r="G422" s="33" t="str">
        <f t="shared" si="39"/>
        <v/>
      </c>
      <c r="H422" s="32" t="str">
        <f t="shared" si="36"/>
        <v/>
      </c>
      <c r="I422" s="44"/>
      <c r="J422" s="31" t="str">
        <f t="shared" si="37"/>
        <v/>
      </c>
      <c r="K422" s="34"/>
      <c r="L422" s="35"/>
      <c r="M422" s="34"/>
      <c r="N422" s="34"/>
      <c r="O422" s="2" t="str">
        <f t="shared" si="35"/>
        <v xml:space="preserve"> </v>
      </c>
    </row>
    <row r="423" spans="1:15" s="2" customFormat="1" x14ac:dyDescent="0.2">
      <c r="A423" s="28"/>
      <c r="B423" s="29"/>
      <c r="C423" s="30" t="str">
        <f t="shared" si="38"/>
        <v/>
      </c>
      <c r="D423" s="31"/>
      <c r="E423" s="31"/>
      <c r="F423" s="32"/>
      <c r="G423" s="33" t="str">
        <f t="shared" si="39"/>
        <v/>
      </c>
      <c r="H423" s="32" t="str">
        <f t="shared" si="36"/>
        <v/>
      </c>
      <c r="I423" s="44"/>
      <c r="J423" s="31" t="str">
        <f t="shared" si="37"/>
        <v/>
      </c>
      <c r="K423" s="34"/>
      <c r="L423" s="35"/>
      <c r="M423" s="34"/>
      <c r="N423" s="34"/>
      <c r="O423" s="2" t="str">
        <f t="shared" si="35"/>
        <v xml:space="preserve"> </v>
      </c>
    </row>
    <row r="424" spans="1:15" s="2" customFormat="1" x14ac:dyDescent="0.2">
      <c r="A424" s="28"/>
      <c r="B424" s="29"/>
      <c r="C424" s="30" t="str">
        <f t="shared" si="38"/>
        <v/>
      </c>
      <c r="D424" s="31"/>
      <c r="E424" s="31"/>
      <c r="F424" s="32"/>
      <c r="G424" s="33" t="str">
        <f t="shared" si="39"/>
        <v/>
      </c>
      <c r="H424" s="32" t="str">
        <f t="shared" si="36"/>
        <v/>
      </c>
      <c r="I424" s="44"/>
      <c r="J424" s="31" t="str">
        <f t="shared" si="37"/>
        <v/>
      </c>
      <c r="K424" s="34"/>
      <c r="L424" s="35"/>
      <c r="M424" s="34"/>
      <c r="N424" s="34"/>
      <c r="O424" s="2" t="str">
        <f t="shared" si="35"/>
        <v xml:space="preserve"> </v>
      </c>
    </row>
    <row r="425" spans="1:15" s="2" customFormat="1" x14ac:dyDescent="0.2">
      <c r="A425" s="28"/>
      <c r="B425" s="29"/>
      <c r="C425" s="30" t="str">
        <f t="shared" si="38"/>
        <v/>
      </c>
      <c r="D425" s="31"/>
      <c r="E425" s="31"/>
      <c r="F425" s="32"/>
      <c r="G425" s="33" t="str">
        <f t="shared" si="39"/>
        <v/>
      </c>
      <c r="H425" s="32" t="str">
        <f t="shared" si="36"/>
        <v/>
      </c>
      <c r="I425" s="44"/>
      <c r="J425" s="31" t="str">
        <f t="shared" si="37"/>
        <v/>
      </c>
      <c r="K425" s="34"/>
      <c r="L425" s="35"/>
      <c r="M425" s="34"/>
      <c r="N425" s="34"/>
      <c r="O425" s="2" t="str">
        <f t="shared" si="35"/>
        <v xml:space="preserve"> </v>
      </c>
    </row>
    <row r="426" spans="1:15" s="2" customFormat="1" x14ac:dyDescent="0.2">
      <c r="A426" s="28"/>
      <c r="B426" s="29"/>
      <c r="C426" s="30" t="str">
        <f t="shared" si="38"/>
        <v/>
      </c>
      <c r="D426" s="31"/>
      <c r="E426" s="31"/>
      <c r="F426" s="32"/>
      <c r="G426" s="33" t="str">
        <f t="shared" si="39"/>
        <v/>
      </c>
      <c r="H426" s="32" t="str">
        <f t="shared" si="36"/>
        <v/>
      </c>
      <c r="I426" s="44"/>
      <c r="J426" s="31" t="str">
        <f t="shared" si="37"/>
        <v/>
      </c>
      <c r="K426" s="34"/>
      <c r="L426" s="35"/>
      <c r="M426" s="34"/>
      <c r="N426" s="34"/>
      <c r="O426" s="2" t="str">
        <f t="shared" si="35"/>
        <v xml:space="preserve"> </v>
      </c>
    </row>
    <row r="427" spans="1:15" s="2" customFormat="1" x14ac:dyDescent="0.2">
      <c r="A427" s="28"/>
      <c r="B427" s="29"/>
      <c r="C427" s="30" t="str">
        <f t="shared" si="38"/>
        <v/>
      </c>
      <c r="D427" s="31"/>
      <c r="E427" s="31"/>
      <c r="F427" s="32"/>
      <c r="G427" s="33" t="str">
        <f t="shared" si="39"/>
        <v/>
      </c>
      <c r="H427" s="32" t="str">
        <f t="shared" si="36"/>
        <v/>
      </c>
      <c r="I427" s="44"/>
      <c r="J427" s="31" t="str">
        <f t="shared" si="37"/>
        <v/>
      </c>
      <c r="K427" s="34"/>
      <c r="L427" s="35"/>
      <c r="M427" s="34"/>
      <c r="N427" s="34"/>
      <c r="O427" s="2" t="str">
        <f t="shared" si="35"/>
        <v xml:space="preserve"> </v>
      </c>
    </row>
    <row r="428" spans="1:15" s="2" customFormat="1" x14ac:dyDescent="0.2">
      <c r="A428" s="28"/>
      <c r="B428" s="29"/>
      <c r="C428" s="30" t="str">
        <f t="shared" si="38"/>
        <v/>
      </c>
      <c r="D428" s="31"/>
      <c r="E428" s="31"/>
      <c r="F428" s="32"/>
      <c r="G428" s="33" t="str">
        <f t="shared" si="39"/>
        <v/>
      </c>
      <c r="H428" s="32" t="str">
        <f t="shared" si="36"/>
        <v/>
      </c>
      <c r="I428" s="44"/>
      <c r="J428" s="31" t="str">
        <f t="shared" si="37"/>
        <v/>
      </c>
      <c r="K428" s="34"/>
      <c r="L428" s="35"/>
      <c r="M428" s="34"/>
      <c r="N428" s="34"/>
      <c r="O428" s="2" t="str">
        <f t="shared" si="35"/>
        <v xml:space="preserve"> </v>
      </c>
    </row>
    <row r="429" spans="1:15" s="2" customFormat="1" x14ac:dyDescent="0.2">
      <c r="A429" s="28"/>
      <c r="B429" s="29"/>
      <c r="C429" s="30" t="str">
        <f t="shared" si="38"/>
        <v/>
      </c>
      <c r="D429" s="31"/>
      <c r="E429" s="31"/>
      <c r="F429" s="32"/>
      <c r="G429" s="33" t="str">
        <f t="shared" si="39"/>
        <v/>
      </c>
      <c r="H429" s="32" t="str">
        <f t="shared" si="36"/>
        <v/>
      </c>
      <c r="I429" s="44"/>
      <c r="J429" s="31" t="str">
        <f t="shared" si="37"/>
        <v/>
      </c>
      <c r="K429" s="34"/>
      <c r="L429" s="35"/>
      <c r="M429" s="34"/>
      <c r="N429" s="34"/>
      <c r="O429" s="2" t="str">
        <f t="shared" si="35"/>
        <v xml:space="preserve"> </v>
      </c>
    </row>
    <row r="430" spans="1:15" s="2" customFormat="1" x14ac:dyDescent="0.2">
      <c r="A430" s="28"/>
      <c r="B430" s="29"/>
      <c r="C430" s="30" t="str">
        <f t="shared" si="38"/>
        <v/>
      </c>
      <c r="D430" s="31"/>
      <c r="E430" s="31"/>
      <c r="F430" s="32"/>
      <c r="G430" s="33" t="str">
        <f t="shared" si="39"/>
        <v/>
      </c>
      <c r="H430" s="32" t="str">
        <f t="shared" si="36"/>
        <v/>
      </c>
      <c r="I430" s="44"/>
      <c r="J430" s="31" t="str">
        <f t="shared" si="37"/>
        <v/>
      </c>
      <c r="K430" s="34"/>
      <c r="L430" s="35"/>
      <c r="M430" s="34"/>
      <c r="N430" s="34"/>
      <c r="O430" s="2" t="str">
        <f t="shared" si="35"/>
        <v xml:space="preserve"> </v>
      </c>
    </row>
    <row r="431" spans="1:15" s="2" customFormat="1" x14ac:dyDescent="0.2">
      <c r="A431" s="28"/>
      <c r="B431" s="29"/>
      <c r="C431" s="30" t="str">
        <f t="shared" si="38"/>
        <v/>
      </c>
      <c r="D431" s="31"/>
      <c r="E431" s="31"/>
      <c r="F431" s="32"/>
      <c r="G431" s="33" t="str">
        <f t="shared" si="39"/>
        <v/>
      </c>
      <c r="H431" s="32" t="str">
        <f t="shared" si="36"/>
        <v/>
      </c>
      <c r="I431" s="44"/>
      <c r="J431" s="31" t="str">
        <f t="shared" si="37"/>
        <v/>
      </c>
      <c r="K431" s="34"/>
      <c r="L431" s="35"/>
      <c r="M431" s="34"/>
      <c r="N431" s="34"/>
      <c r="O431" s="2" t="str">
        <f t="shared" si="35"/>
        <v xml:space="preserve"> </v>
      </c>
    </row>
    <row r="432" spans="1:15" s="2" customFormat="1" x14ac:dyDescent="0.2">
      <c r="A432" s="28"/>
      <c r="B432" s="29"/>
      <c r="C432" s="30" t="str">
        <f t="shared" si="38"/>
        <v/>
      </c>
      <c r="D432" s="31"/>
      <c r="E432" s="31"/>
      <c r="F432" s="32"/>
      <c r="G432" s="33" t="str">
        <f t="shared" si="39"/>
        <v/>
      </c>
      <c r="H432" s="32" t="str">
        <f t="shared" si="36"/>
        <v/>
      </c>
      <c r="I432" s="44"/>
      <c r="J432" s="31" t="str">
        <f t="shared" si="37"/>
        <v/>
      </c>
      <c r="K432" s="34"/>
      <c r="L432" s="35"/>
      <c r="M432" s="34"/>
      <c r="N432" s="34"/>
      <c r="O432" s="2" t="str">
        <f t="shared" si="35"/>
        <v xml:space="preserve"> </v>
      </c>
    </row>
    <row r="433" spans="1:15" s="2" customFormat="1" x14ac:dyDescent="0.2">
      <c r="A433" s="28"/>
      <c r="B433" s="29"/>
      <c r="C433" s="30" t="str">
        <f t="shared" si="38"/>
        <v/>
      </c>
      <c r="D433" s="31"/>
      <c r="E433" s="31"/>
      <c r="F433" s="32"/>
      <c r="G433" s="33" t="str">
        <f t="shared" si="39"/>
        <v/>
      </c>
      <c r="H433" s="32" t="str">
        <f t="shared" si="36"/>
        <v/>
      </c>
      <c r="I433" s="44"/>
      <c r="J433" s="31" t="str">
        <f t="shared" si="37"/>
        <v/>
      </c>
      <c r="K433" s="34"/>
      <c r="L433" s="35"/>
      <c r="M433" s="34"/>
      <c r="N433" s="34"/>
      <c r="O433" s="2" t="str">
        <f t="shared" si="35"/>
        <v xml:space="preserve"> </v>
      </c>
    </row>
    <row r="434" spans="1:15" s="2" customFormat="1" x14ac:dyDescent="0.2">
      <c r="A434" s="28"/>
      <c r="B434" s="29"/>
      <c r="C434" s="30" t="str">
        <f t="shared" si="38"/>
        <v/>
      </c>
      <c r="D434" s="31"/>
      <c r="E434" s="31"/>
      <c r="F434" s="32"/>
      <c r="G434" s="33" t="str">
        <f t="shared" si="39"/>
        <v/>
      </c>
      <c r="H434" s="32" t="str">
        <f t="shared" si="36"/>
        <v/>
      </c>
      <c r="I434" s="44"/>
      <c r="J434" s="31" t="str">
        <f t="shared" si="37"/>
        <v/>
      </c>
      <c r="K434" s="34"/>
      <c r="L434" s="35"/>
      <c r="M434" s="34"/>
      <c r="N434" s="34"/>
      <c r="O434" s="2" t="str">
        <f t="shared" si="35"/>
        <v xml:space="preserve"> </v>
      </c>
    </row>
    <row r="435" spans="1:15" s="2" customFormat="1" x14ac:dyDescent="0.2">
      <c r="A435" s="28"/>
      <c r="B435" s="29"/>
      <c r="C435" s="30" t="str">
        <f t="shared" si="38"/>
        <v/>
      </c>
      <c r="D435" s="31"/>
      <c r="E435" s="31"/>
      <c r="F435" s="32"/>
      <c r="G435" s="33" t="str">
        <f t="shared" si="39"/>
        <v/>
      </c>
      <c r="H435" s="32" t="str">
        <f t="shared" si="36"/>
        <v/>
      </c>
      <c r="I435" s="44"/>
      <c r="J435" s="31" t="str">
        <f t="shared" si="37"/>
        <v/>
      </c>
      <c r="K435" s="34"/>
      <c r="L435" s="35"/>
      <c r="M435" s="34"/>
      <c r="N435" s="34"/>
      <c r="O435" s="2" t="str">
        <f t="shared" si="35"/>
        <v xml:space="preserve"> </v>
      </c>
    </row>
    <row r="436" spans="1:15" s="2" customFormat="1" x14ac:dyDescent="0.2">
      <c r="A436" s="28"/>
      <c r="B436" s="29"/>
      <c r="C436" s="30" t="str">
        <f t="shared" si="38"/>
        <v/>
      </c>
      <c r="D436" s="31"/>
      <c r="E436" s="31"/>
      <c r="F436" s="32"/>
      <c r="G436" s="33" t="str">
        <f t="shared" si="39"/>
        <v/>
      </c>
      <c r="H436" s="32" t="str">
        <f t="shared" si="36"/>
        <v/>
      </c>
      <c r="I436" s="44"/>
      <c r="J436" s="31" t="str">
        <f t="shared" si="37"/>
        <v/>
      </c>
      <c r="K436" s="34"/>
      <c r="L436" s="35"/>
      <c r="M436" s="34"/>
      <c r="N436" s="34"/>
      <c r="O436" s="2" t="str">
        <f t="shared" si="35"/>
        <v xml:space="preserve"> </v>
      </c>
    </row>
    <row r="437" spans="1:15" s="2" customFormat="1" x14ac:dyDescent="0.2">
      <c r="A437" s="28"/>
      <c r="B437" s="29"/>
      <c r="C437" s="30" t="str">
        <f t="shared" si="38"/>
        <v/>
      </c>
      <c r="D437" s="31"/>
      <c r="E437" s="31"/>
      <c r="F437" s="32"/>
      <c r="G437" s="33" t="str">
        <f t="shared" si="39"/>
        <v/>
      </c>
      <c r="H437" s="32" t="str">
        <f t="shared" si="36"/>
        <v/>
      </c>
      <c r="I437" s="44"/>
      <c r="J437" s="31" t="str">
        <f t="shared" si="37"/>
        <v/>
      </c>
      <c r="K437" s="34"/>
      <c r="L437" s="35"/>
      <c r="M437" s="34"/>
      <c r="N437" s="34"/>
      <c r="O437" s="2" t="str">
        <f t="shared" si="35"/>
        <v xml:space="preserve"> </v>
      </c>
    </row>
    <row r="438" spans="1:15" s="2" customFormat="1" x14ac:dyDescent="0.2">
      <c r="A438" s="28"/>
      <c r="B438" s="29"/>
      <c r="C438" s="30" t="str">
        <f t="shared" si="38"/>
        <v/>
      </c>
      <c r="D438" s="31"/>
      <c r="E438" s="31"/>
      <c r="F438" s="32"/>
      <c r="G438" s="33" t="str">
        <f t="shared" si="39"/>
        <v/>
      </c>
      <c r="H438" s="32" t="str">
        <f t="shared" si="36"/>
        <v/>
      </c>
      <c r="I438" s="44"/>
      <c r="J438" s="31" t="str">
        <f t="shared" si="37"/>
        <v/>
      </c>
      <c r="K438" s="34"/>
      <c r="L438" s="35"/>
      <c r="M438" s="34"/>
      <c r="N438" s="34"/>
      <c r="O438" s="2" t="str">
        <f t="shared" si="35"/>
        <v xml:space="preserve"> </v>
      </c>
    </row>
    <row r="439" spans="1:15" s="2" customFormat="1" x14ac:dyDescent="0.2">
      <c r="A439" s="28"/>
      <c r="B439" s="29"/>
      <c r="C439" s="30" t="str">
        <f t="shared" si="38"/>
        <v/>
      </c>
      <c r="D439" s="31"/>
      <c r="E439" s="31"/>
      <c r="F439" s="32"/>
      <c r="G439" s="33" t="str">
        <f t="shared" si="39"/>
        <v/>
      </c>
      <c r="H439" s="32" t="str">
        <f t="shared" si="36"/>
        <v/>
      </c>
      <c r="I439" s="44"/>
      <c r="J439" s="31" t="str">
        <f t="shared" si="37"/>
        <v/>
      </c>
      <c r="K439" s="34"/>
      <c r="L439" s="35"/>
      <c r="M439" s="34"/>
      <c r="N439" s="34"/>
      <c r="O439" s="2" t="str">
        <f t="shared" si="35"/>
        <v xml:space="preserve"> </v>
      </c>
    </row>
    <row r="440" spans="1:15" s="2" customFormat="1" x14ac:dyDescent="0.2">
      <c r="A440" s="28"/>
      <c r="B440" s="29"/>
      <c r="C440" s="30" t="str">
        <f t="shared" si="38"/>
        <v/>
      </c>
      <c r="D440" s="31"/>
      <c r="E440" s="31"/>
      <c r="F440" s="32"/>
      <c r="G440" s="33" t="str">
        <f t="shared" si="39"/>
        <v/>
      </c>
      <c r="H440" s="32" t="str">
        <f t="shared" si="36"/>
        <v/>
      </c>
      <c r="I440" s="44"/>
      <c r="J440" s="31" t="str">
        <f t="shared" si="37"/>
        <v/>
      </c>
      <c r="K440" s="34"/>
      <c r="L440" s="35"/>
      <c r="M440" s="34"/>
      <c r="N440" s="34"/>
      <c r="O440" s="2" t="str">
        <f t="shared" si="35"/>
        <v xml:space="preserve"> </v>
      </c>
    </row>
    <row r="441" spans="1:15" s="2" customFormat="1" x14ac:dyDescent="0.2">
      <c r="A441" s="28"/>
      <c r="B441" s="29"/>
      <c r="C441" s="30" t="str">
        <f t="shared" si="38"/>
        <v/>
      </c>
      <c r="D441" s="31"/>
      <c r="E441" s="31"/>
      <c r="F441" s="32"/>
      <c r="G441" s="33" t="str">
        <f t="shared" si="39"/>
        <v/>
      </c>
      <c r="H441" s="32" t="str">
        <f t="shared" si="36"/>
        <v/>
      </c>
      <c r="I441" s="44"/>
      <c r="J441" s="31" t="str">
        <f t="shared" si="37"/>
        <v/>
      </c>
      <c r="K441" s="34"/>
      <c r="L441" s="35"/>
      <c r="M441" s="34"/>
      <c r="N441" s="34"/>
      <c r="O441" s="2" t="str">
        <f t="shared" si="35"/>
        <v xml:space="preserve"> </v>
      </c>
    </row>
    <row r="442" spans="1:15" s="2" customFormat="1" x14ac:dyDescent="0.2">
      <c r="A442" s="28"/>
      <c r="B442" s="29"/>
      <c r="C442" s="30" t="str">
        <f t="shared" si="38"/>
        <v/>
      </c>
      <c r="D442" s="31"/>
      <c r="E442" s="31"/>
      <c r="F442" s="32"/>
      <c r="G442" s="33" t="str">
        <f t="shared" si="39"/>
        <v/>
      </c>
      <c r="H442" s="32" t="str">
        <f t="shared" si="36"/>
        <v/>
      </c>
      <c r="I442" s="44"/>
      <c r="J442" s="31" t="str">
        <f t="shared" si="37"/>
        <v/>
      </c>
      <c r="K442" s="34"/>
      <c r="L442" s="35"/>
      <c r="M442" s="34"/>
      <c r="N442" s="34"/>
      <c r="O442" s="2" t="str">
        <f t="shared" si="35"/>
        <v xml:space="preserve"> </v>
      </c>
    </row>
    <row r="443" spans="1:15" s="2" customFormat="1" x14ac:dyDescent="0.2">
      <c r="A443" s="28"/>
      <c r="B443" s="29"/>
      <c r="C443" s="30" t="str">
        <f t="shared" si="38"/>
        <v/>
      </c>
      <c r="D443" s="31"/>
      <c r="E443" s="31"/>
      <c r="F443" s="32"/>
      <c r="G443" s="33" t="str">
        <f t="shared" si="39"/>
        <v/>
      </c>
      <c r="H443" s="32" t="str">
        <f t="shared" si="36"/>
        <v/>
      </c>
      <c r="I443" s="44"/>
      <c r="J443" s="31" t="str">
        <f t="shared" si="37"/>
        <v/>
      </c>
      <c r="K443" s="34"/>
      <c r="L443" s="35"/>
      <c r="M443" s="34"/>
      <c r="N443" s="34"/>
      <c r="O443" s="2" t="str">
        <f t="shared" si="35"/>
        <v xml:space="preserve"> </v>
      </c>
    </row>
    <row r="444" spans="1:15" s="2" customFormat="1" x14ac:dyDescent="0.2">
      <c r="A444" s="28"/>
      <c r="B444" s="29"/>
      <c r="C444" s="30" t="str">
        <f t="shared" si="38"/>
        <v/>
      </c>
      <c r="D444" s="31"/>
      <c r="E444" s="31"/>
      <c r="F444" s="32"/>
      <c r="G444" s="33" t="str">
        <f t="shared" si="39"/>
        <v/>
      </c>
      <c r="H444" s="32" t="str">
        <f t="shared" si="36"/>
        <v/>
      </c>
      <c r="I444" s="44"/>
      <c r="J444" s="31" t="str">
        <f t="shared" si="37"/>
        <v/>
      </c>
      <c r="K444" s="34"/>
      <c r="L444" s="35"/>
      <c r="M444" s="34"/>
      <c r="N444" s="34"/>
      <c r="O444" s="2" t="str">
        <f t="shared" si="35"/>
        <v xml:space="preserve"> </v>
      </c>
    </row>
    <row r="445" spans="1:15" s="2" customFormat="1" x14ac:dyDescent="0.2">
      <c r="A445" s="28"/>
      <c r="B445" s="29"/>
      <c r="C445" s="30" t="str">
        <f t="shared" si="38"/>
        <v/>
      </c>
      <c r="D445" s="31"/>
      <c r="E445" s="31"/>
      <c r="F445" s="32"/>
      <c r="G445" s="33" t="str">
        <f t="shared" si="39"/>
        <v/>
      </c>
      <c r="H445" s="32" t="str">
        <f t="shared" si="36"/>
        <v/>
      </c>
      <c r="I445" s="44"/>
      <c r="J445" s="31" t="str">
        <f t="shared" si="37"/>
        <v/>
      </c>
      <c r="K445" s="34"/>
      <c r="L445" s="35"/>
      <c r="M445" s="34"/>
      <c r="N445" s="34"/>
      <c r="O445" s="2" t="str">
        <f t="shared" si="35"/>
        <v xml:space="preserve"> </v>
      </c>
    </row>
    <row r="446" spans="1:15" s="2" customFormat="1" x14ac:dyDescent="0.2">
      <c r="A446" s="28"/>
      <c r="B446" s="29"/>
      <c r="C446" s="30" t="str">
        <f t="shared" si="38"/>
        <v/>
      </c>
      <c r="D446" s="31"/>
      <c r="E446" s="31"/>
      <c r="F446" s="32"/>
      <c r="G446" s="33" t="str">
        <f t="shared" si="39"/>
        <v/>
      </c>
      <c r="H446" s="32" t="str">
        <f t="shared" si="36"/>
        <v/>
      </c>
      <c r="I446" s="44"/>
      <c r="J446" s="31" t="str">
        <f t="shared" si="37"/>
        <v/>
      </c>
      <c r="K446" s="34"/>
      <c r="L446" s="35"/>
      <c r="M446" s="34"/>
      <c r="N446" s="34"/>
      <c r="O446" s="2" t="str">
        <f t="shared" si="35"/>
        <v xml:space="preserve"> </v>
      </c>
    </row>
    <row r="447" spans="1:15" s="2" customFormat="1" x14ac:dyDescent="0.2">
      <c r="A447" s="28"/>
      <c r="B447" s="29"/>
      <c r="C447" s="30" t="str">
        <f t="shared" si="38"/>
        <v/>
      </c>
      <c r="D447" s="31"/>
      <c r="E447" s="31"/>
      <c r="F447" s="32"/>
      <c r="G447" s="33" t="str">
        <f t="shared" si="39"/>
        <v/>
      </c>
      <c r="H447" s="32" t="str">
        <f t="shared" si="36"/>
        <v/>
      </c>
      <c r="I447" s="44"/>
      <c r="J447" s="31" t="str">
        <f t="shared" si="37"/>
        <v/>
      </c>
      <c r="K447" s="34"/>
      <c r="L447" s="35"/>
      <c r="M447" s="34"/>
      <c r="N447" s="34"/>
      <c r="O447" s="2" t="str">
        <f t="shared" si="35"/>
        <v xml:space="preserve"> </v>
      </c>
    </row>
    <row r="448" spans="1:15" s="2" customFormat="1" x14ac:dyDescent="0.2">
      <c r="A448" s="28"/>
      <c r="B448" s="29"/>
      <c r="C448" s="30" t="str">
        <f t="shared" si="38"/>
        <v/>
      </c>
      <c r="D448" s="31"/>
      <c r="E448" s="31"/>
      <c r="F448" s="32"/>
      <c r="G448" s="33" t="str">
        <f t="shared" si="39"/>
        <v/>
      </c>
      <c r="H448" s="32" t="str">
        <f t="shared" si="36"/>
        <v/>
      </c>
      <c r="I448" s="44"/>
      <c r="J448" s="31" t="str">
        <f t="shared" si="37"/>
        <v/>
      </c>
      <c r="K448" s="34"/>
      <c r="L448" s="35"/>
      <c r="M448" s="34"/>
      <c r="N448" s="34"/>
      <c r="O448" s="2" t="str">
        <f t="shared" si="35"/>
        <v xml:space="preserve"> </v>
      </c>
    </row>
    <row r="449" spans="1:15" s="2" customFormat="1" x14ac:dyDescent="0.2">
      <c r="A449" s="28"/>
      <c r="B449" s="29"/>
      <c r="C449" s="30" t="str">
        <f t="shared" si="38"/>
        <v/>
      </c>
      <c r="D449" s="31"/>
      <c r="E449" s="31"/>
      <c r="F449" s="32"/>
      <c r="G449" s="33" t="str">
        <f t="shared" si="39"/>
        <v/>
      </c>
      <c r="H449" s="32" t="str">
        <f t="shared" si="36"/>
        <v/>
      </c>
      <c r="I449" s="44"/>
      <c r="J449" s="31" t="str">
        <f t="shared" si="37"/>
        <v/>
      </c>
      <c r="K449" s="34"/>
      <c r="L449" s="35"/>
      <c r="M449" s="34"/>
      <c r="N449" s="34"/>
      <c r="O449" s="2" t="str">
        <f t="shared" si="35"/>
        <v xml:space="preserve"> </v>
      </c>
    </row>
    <row r="450" spans="1:15" s="2" customFormat="1" x14ac:dyDescent="0.2">
      <c r="A450" s="28"/>
      <c r="B450" s="29"/>
      <c r="C450" s="30" t="str">
        <f t="shared" si="38"/>
        <v/>
      </c>
      <c r="D450" s="31"/>
      <c r="E450" s="31"/>
      <c r="F450" s="32"/>
      <c r="G450" s="33" t="str">
        <f>IF(F450&lt;&gt;"",F450+G449,"")</f>
        <v/>
      </c>
      <c r="H450" s="32" t="str">
        <f t="shared" si="36"/>
        <v/>
      </c>
      <c r="I450" s="44"/>
      <c r="J450" s="31" t="str">
        <f t="shared" si="37"/>
        <v/>
      </c>
      <c r="K450" s="34"/>
      <c r="L450" s="35"/>
      <c r="M450" s="34"/>
      <c r="N450" s="34"/>
      <c r="O450" s="2" t="str">
        <f t="shared" si="35"/>
        <v xml:space="preserve"> </v>
      </c>
    </row>
    <row r="451" spans="1:15" s="2" customFormat="1" x14ac:dyDescent="0.2">
      <c r="A451" s="28"/>
      <c r="B451" s="29"/>
      <c r="C451" s="30" t="str">
        <f t="shared" si="38"/>
        <v/>
      </c>
      <c r="D451" s="31"/>
      <c r="E451" s="31"/>
      <c r="F451" s="32"/>
      <c r="G451" s="33" t="str">
        <f t="shared" si="39"/>
        <v/>
      </c>
      <c r="H451" s="32" t="str">
        <f t="shared" si="36"/>
        <v/>
      </c>
      <c r="I451" s="44"/>
      <c r="J451" s="31" t="str">
        <f t="shared" si="37"/>
        <v/>
      </c>
      <c r="K451" s="34"/>
      <c r="L451" s="35"/>
      <c r="M451" s="34"/>
      <c r="N451" s="34"/>
      <c r="O451" s="2" t="str">
        <f t="shared" si="35"/>
        <v xml:space="preserve"> </v>
      </c>
    </row>
    <row r="452" spans="1:15" s="2" customFormat="1" x14ac:dyDescent="0.2">
      <c r="A452" s="28"/>
      <c r="B452" s="29"/>
      <c r="C452" s="30" t="str">
        <f t="shared" si="38"/>
        <v/>
      </c>
      <c r="D452" s="31"/>
      <c r="E452" s="31"/>
      <c r="F452" s="32"/>
      <c r="G452" s="33" t="str">
        <f t="shared" si="39"/>
        <v/>
      </c>
      <c r="H452" s="32" t="str">
        <f t="shared" si="36"/>
        <v/>
      </c>
      <c r="I452" s="44"/>
      <c r="J452" s="31" t="str">
        <f t="shared" si="37"/>
        <v/>
      </c>
      <c r="K452" s="34"/>
      <c r="L452" s="35"/>
      <c r="M452" s="34"/>
      <c r="N452" s="34"/>
      <c r="O452" s="2" t="str">
        <f t="shared" si="35"/>
        <v xml:space="preserve"> </v>
      </c>
    </row>
    <row r="453" spans="1:15" s="2" customFormat="1" x14ac:dyDescent="0.2">
      <c r="A453" s="28"/>
      <c r="B453" s="29"/>
      <c r="C453" s="30" t="str">
        <f t="shared" si="38"/>
        <v/>
      </c>
      <c r="D453" s="31"/>
      <c r="E453" s="31"/>
      <c r="F453" s="32"/>
      <c r="G453" s="33" t="str">
        <f t="shared" si="39"/>
        <v/>
      </c>
      <c r="H453" s="32" t="str">
        <f t="shared" si="36"/>
        <v/>
      </c>
      <c r="I453" s="44"/>
      <c r="J453" s="31" t="str">
        <f t="shared" si="37"/>
        <v/>
      </c>
      <c r="K453" s="34"/>
      <c r="L453" s="35"/>
      <c r="M453" s="34"/>
      <c r="N453" s="34"/>
      <c r="O453" s="2" t="str">
        <f t="shared" ref="O453:O499" si="40">CONCATENATE(K453," ",N453)</f>
        <v xml:space="preserve"> </v>
      </c>
    </row>
    <row r="454" spans="1:15" s="2" customFormat="1" x14ac:dyDescent="0.2">
      <c r="A454" s="28"/>
      <c r="B454" s="29"/>
      <c r="C454" s="30" t="str">
        <f t="shared" si="38"/>
        <v/>
      </c>
      <c r="D454" s="31"/>
      <c r="E454" s="31"/>
      <c r="F454" s="32"/>
      <c r="G454" s="33" t="str">
        <f t="shared" si="39"/>
        <v/>
      </c>
      <c r="H454" s="32" t="str">
        <f t="shared" si="36"/>
        <v/>
      </c>
      <c r="I454" s="44"/>
      <c r="J454" s="31" t="str">
        <f t="shared" si="37"/>
        <v/>
      </c>
      <c r="K454" s="34"/>
      <c r="L454" s="35"/>
      <c r="M454" s="34"/>
      <c r="N454" s="34"/>
      <c r="O454" s="2" t="str">
        <f t="shared" si="40"/>
        <v xml:space="preserve"> </v>
      </c>
    </row>
    <row r="455" spans="1:15" s="2" customFormat="1" x14ac:dyDescent="0.2">
      <c r="A455" s="28"/>
      <c r="B455" s="29"/>
      <c r="C455" s="30" t="str">
        <f t="shared" si="38"/>
        <v/>
      </c>
      <c r="D455" s="31"/>
      <c r="E455" s="31"/>
      <c r="F455" s="32"/>
      <c r="G455" s="33" t="str">
        <f t="shared" si="39"/>
        <v/>
      </c>
      <c r="H455" s="32" t="str">
        <f t="shared" ref="H455:H518" si="41">IF(F455&lt;&gt;"",ABS(F455),"")</f>
        <v/>
      </c>
      <c r="I455" s="44"/>
      <c r="J455" s="31" t="str">
        <f t="shared" ref="J455:J518" si="42">IF(F455=0,"",IF(F455&lt;0,"PAGAMENTO","RECEBIMENTO"))</f>
        <v/>
      </c>
      <c r="K455" s="34"/>
      <c r="L455" s="35"/>
      <c r="M455" s="34"/>
      <c r="N455" s="34"/>
      <c r="O455" s="2" t="str">
        <f t="shared" si="40"/>
        <v xml:space="preserve"> </v>
      </c>
    </row>
    <row r="456" spans="1:15" s="2" customFormat="1" x14ac:dyDescent="0.2">
      <c r="A456" s="28"/>
      <c r="B456" s="29"/>
      <c r="C456" s="30" t="str">
        <f t="shared" si="38"/>
        <v/>
      </c>
      <c r="D456" s="31"/>
      <c r="E456" s="31"/>
      <c r="F456" s="32"/>
      <c r="G456" s="33" t="str">
        <f t="shared" si="39"/>
        <v/>
      </c>
      <c r="H456" s="32" t="str">
        <f t="shared" si="41"/>
        <v/>
      </c>
      <c r="I456" s="44"/>
      <c r="J456" s="31" t="str">
        <f t="shared" si="42"/>
        <v/>
      </c>
      <c r="K456" s="34"/>
      <c r="L456" s="35"/>
      <c r="M456" s="34"/>
      <c r="N456" s="34"/>
      <c r="O456" s="2" t="str">
        <f t="shared" si="40"/>
        <v xml:space="preserve"> </v>
      </c>
    </row>
    <row r="457" spans="1:15" s="2" customFormat="1" x14ac:dyDescent="0.2">
      <c r="A457" s="28"/>
      <c r="B457" s="29"/>
      <c r="C457" s="30" t="str">
        <f t="shared" si="38"/>
        <v/>
      </c>
      <c r="D457" s="31"/>
      <c r="E457" s="31"/>
      <c r="F457" s="32"/>
      <c r="G457" s="33" t="str">
        <f t="shared" si="39"/>
        <v/>
      </c>
      <c r="H457" s="32" t="str">
        <f t="shared" si="41"/>
        <v/>
      </c>
      <c r="I457" s="44"/>
      <c r="J457" s="31" t="str">
        <f t="shared" si="42"/>
        <v/>
      </c>
      <c r="K457" s="34"/>
      <c r="L457" s="35"/>
      <c r="M457" s="34"/>
      <c r="N457" s="34"/>
      <c r="O457" s="2" t="str">
        <f t="shared" si="40"/>
        <v xml:space="preserve"> </v>
      </c>
    </row>
    <row r="458" spans="1:15" s="2" customFormat="1" x14ac:dyDescent="0.2">
      <c r="A458" s="28"/>
      <c r="B458" s="29"/>
      <c r="C458" s="30" t="str">
        <f t="shared" ref="C458:C499" si="43">IF(B458="","",TEXT(DAY(B458),"00")&amp;"/"&amp;TEXT(MONTH(B458),"00"))</f>
        <v/>
      </c>
      <c r="D458" s="31"/>
      <c r="E458" s="31"/>
      <c r="F458" s="32"/>
      <c r="G458" s="33" t="str">
        <f t="shared" si="39"/>
        <v/>
      </c>
      <c r="H458" s="32" t="str">
        <f t="shared" si="41"/>
        <v/>
      </c>
      <c r="I458" s="44"/>
      <c r="J458" s="31" t="str">
        <f t="shared" si="42"/>
        <v/>
      </c>
      <c r="K458" s="34"/>
      <c r="L458" s="35"/>
      <c r="M458" s="34"/>
      <c r="N458" s="34"/>
      <c r="O458" s="2" t="str">
        <f t="shared" si="40"/>
        <v xml:space="preserve"> </v>
      </c>
    </row>
    <row r="459" spans="1:15" s="2" customFormat="1" x14ac:dyDescent="0.2">
      <c r="A459" s="28"/>
      <c r="B459" s="29"/>
      <c r="C459" s="30" t="str">
        <f t="shared" si="43"/>
        <v/>
      </c>
      <c r="D459" s="31"/>
      <c r="E459" s="31"/>
      <c r="F459" s="32"/>
      <c r="G459" s="33" t="str">
        <f t="shared" si="39"/>
        <v/>
      </c>
      <c r="H459" s="32" t="str">
        <f t="shared" si="41"/>
        <v/>
      </c>
      <c r="I459" s="44"/>
      <c r="J459" s="31" t="str">
        <f t="shared" si="42"/>
        <v/>
      </c>
      <c r="K459" s="34"/>
      <c r="L459" s="35"/>
      <c r="M459" s="34"/>
      <c r="N459" s="34"/>
      <c r="O459" s="2" t="str">
        <f t="shared" si="40"/>
        <v xml:space="preserve"> </v>
      </c>
    </row>
    <row r="460" spans="1:15" s="2" customFormat="1" x14ac:dyDescent="0.2">
      <c r="A460" s="28"/>
      <c r="B460" s="29"/>
      <c r="C460" s="30" t="str">
        <f t="shared" si="43"/>
        <v/>
      </c>
      <c r="D460" s="31"/>
      <c r="E460" s="31"/>
      <c r="F460" s="32"/>
      <c r="G460" s="33" t="str">
        <f t="shared" si="39"/>
        <v/>
      </c>
      <c r="H460" s="32" t="str">
        <f t="shared" si="41"/>
        <v/>
      </c>
      <c r="I460" s="44"/>
      <c r="J460" s="31" t="str">
        <f t="shared" si="42"/>
        <v/>
      </c>
      <c r="K460" s="34"/>
      <c r="L460" s="35"/>
      <c r="M460" s="34"/>
      <c r="N460" s="34"/>
      <c r="O460" s="2" t="str">
        <f t="shared" si="40"/>
        <v xml:space="preserve"> </v>
      </c>
    </row>
    <row r="461" spans="1:15" s="2" customFormat="1" x14ac:dyDescent="0.2">
      <c r="A461" s="28"/>
      <c r="B461" s="29"/>
      <c r="C461" s="30" t="str">
        <f t="shared" si="43"/>
        <v/>
      </c>
      <c r="D461" s="31"/>
      <c r="E461" s="31"/>
      <c r="F461" s="32"/>
      <c r="G461" s="33" t="str">
        <f t="shared" ref="G461:G524" si="44">IF(F461&lt;&gt;"",F461+G460,"")</f>
        <v/>
      </c>
      <c r="H461" s="32" t="str">
        <f t="shared" si="41"/>
        <v/>
      </c>
      <c r="I461" s="44"/>
      <c r="J461" s="31" t="str">
        <f t="shared" si="42"/>
        <v/>
      </c>
      <c r="K461" s="34"/>
      <c r="L461" s="35"/>
      <c r="M461" s="34"/>
      <c r="N461" s="34"/>
      <c r="O461" s="2" t="str">
        <f t="shared" si="40"/>
        <v xml:space="preserve"> </v>
      </c>
    </row>
    <row r="462" spans="1:15" s="2" customFormat="1" x14ac:dyDescent="0.2">
      <c r="A462" s="28"/>
      <c r="B462" s="29"/>
      <c r="C462" s="30" t="str">
        <f t="shared" si="43"/>
        <v/>
      </c>
      <c r="D462" s="31"/>
      <c r="E462" s="31"/>
      <c r="F462" s="32"/>
      <c r="G462" s="33" t="str">
        <f t="shared" si="44"/>
        <v/>
      </c>
      <c r="H462" s="32" t="str">
        <f t="shared" si="41"/>
        <v/>
      </c>
      <c r="I462" s="44"/>
      <c r="J462" s="31" t="str">
        <f t="shared" si="42"/>
        <v/>
      </c>
      <c r="K462" s="34"/>
      <c r="L462" s="35"/>
      <c r="M462" s="34"/>
      <c r="N462" s="34"/>
      <c r="O462" s="2" t="str">
        <f t="shared" si="40"/>
        <v xml:space="preserve"> </v>
      </c>
    </row>
    <row r="463" spans="1:15" s="2" customFormat="1" x14ac:dyDescent="0.2">
      <c r="A463" s="28"/>
      <c r="B463" s="29"/>
      <c r="C463" s="30" t="str">
        <f t="shared" si="43"/>
        <v/>
      </c>
      <c r="D463" s="31"/>
      <c r="E463" s="31"/>
      <c r="F463" s="32"/>
      <c r="G463" s="33" t="str">
        <f t="shared" si="44"/>
        <v/>
      </c>
      <c r="H463" s="32" t="str">
        <f t="shared" si="41"/>
        <v/>
      </c>
      <c r="I463" s="44"/>
      <c r="J463" s="31" t="str">
        <f t="shared" si="42"/>
        <v/>
      </c>
      <c r="K463" s="34"/>
      <c r="L463" s="35"/>
      <c r="M463" s="34"/>
      <c r="N463" s="34"/>
      <c r="O463" s="2" t="str">
        <f t="shared" si="40"/>
        <v xml:space="preserve"> </v>
      </c>
    </row>
    <row r="464" spans="1:15" s="2" customFormat="1" x14ac:dyDescent="0.2">
      <c r="A464" s="28"/>
      <c r="B464" s="29"/>
      <c r="C464" s="30" t="str">
        <f t="shared" si="43"/>
        <v/>
      </c>
      <c r="D464" s="31"/>
      <c r="E464" s="31"/>
      <c r="F464" s="32"/>
      <c r="G464" s="33" t="str">
        <f t="shared" si="44"/>
        <v/>
      </c>
      <c r="H464" s="32" t="str">
        <f t="shared" si="41"/>
        <v/>
      </c>
      <c r="I464" s="44"/>
      <c r="J464" s="31" t="str">
        <f t="shared" si="42"/>
        <v/>
      </c>
      <c r="K464" s="34"/>
      <c r="L464" s="35"/>
      <c r="M464" s="34"/>
      <c r="N464" s="34"/>
      <c r="O464" s="2" t="str">
        <f t="shared" si="40"/>
        <v xml:space="preserve"> </v>
      </c>
    </row>
    <row r="465" spans="1:15" s="2" customFormat="1" x14ac:dyDescent="0.2">
      <c r="A465" s="28"/>
      <c r="B465" s="29"/>
      <c r="C465" s="30" t="str">
        <f t="shared" si="43"/>
        <v/>
      </c>
      <c r="D465" s="31"/>
      <c r="E465" s="31"/>
      <c r="F465" s="32"/>
      <c r="G465" s="33" t="str">
        <f t="shared" si="44"/>
        <v/>
      </c>
      <c r="H465" s="32" t="str">
        <f t="shared" si="41"/>
        <v/>
      </c>
      <c r="I465" s="44"/>
      <c r="J465" s="31" t="str">
        <f t="shared" si="42"/>
        <v/>
      </c>
      <c r="K465" s="34"/>
      <c r="L465" s="35"/>
      <c r="M465" s="34"/>
      <c r="N465" s="34"/>
      <c r="O465" s="2" t="str">
        <f t="shared" si="40"/>
        <v xml:space="preserve"> </v>
      </c>
    </row>
    <row r="466" spans="1:15" s="2" customFormat="1" x14ac:dyDescent="0.2">
      <c r="A466" s="28"/>
      <c r="B466" s="29"/>
      <c r="C466" s="30" t="str">
        <f t="shared" si="43"/>
        <v/>
      </c>
      <c r="D466" s="31"/>
      <c r="E466" s="31"/>
      <c r="F466" s="32"/>
      <c r="G466" s="33" t="str">
        <f t="shared" si="44"/>
        <v/>
      </c>
      <c r="H466" s="32" t="str">
        <f t="shared" si="41"/>
        <v/>
      </c>
      <c r="I466" s="44"/>
      <c r="J466" s="31" t="str">
        <f t="shared" si="42"/>
        <v/>
      </c>
      <c r="K466" s="34"/>
      <c r="L466" s="35"/>
      <c r="M466" s="34"/>
      <c r="N466" s="34"/>
      <c r="O466" s="2" t="str">
        <f t="shared" si="40"/>
        <v xml:space="preserve"> </v>
      </c>
    </row>
    <row r="467" spans="1:15" s="2" customFormat="1" x14ac:dyDescent="0.2">
      <c r="A467" s="28"/>
      <c r="B467" s="29"/>
      <c r="C467" s="30" t="str">
        <f t="shared" si="43"/>
        <v/>
      </c>
      <c r="D467" s="31"/>
      <c r="E467" s="31"/>
      <c r="F467" s="32"/>
      <c r="G467" s="33" t="str">
        <f t="shared" si="44"/>
        <v/>
      </c>
      <c r="H467" s="32" t="str">
        <f t="shared" si="41"/>
        <v/>
      </c>
      <c r="I467" s="44"/>
      <c r="J467" s="31" t="str">
        <f t="shared" si="42"/>
        <v/>
      </c>
      <c r="K467" s="34"/>
      <c r="L467" s="35"/>
      <c r="M467" s="34"/>
      <c r="N467" s="34"/>
      <c r="O467" s="2" t="str">
        <f t="shared" si="40"/>
        <v xml:space="preserve"> </v>
      </c>
    </row>
    <row r="468" spans="1:15" s="2" customFormat="1" x14ac:dyDescent="0.2">
      <c r="A468" s="28"/>
      <c r="B468" s="29"/>
      <c r="C468" s="30" t="str">
        <f t="shared" si="43"/>
        <v/>
      </c>
      <c r="D468" s="31"/>
      <c r="E468" s="31"/>
      <c r="F468" s="32"/>
      <c r="G468" s="33" t="str">
        <f t="shared" si="44"/>
        <v/>
      </c>
      <c r="H468" s="32" t="str">
        <f t="shared" si="41"/>
        <v/>
      </c>
      <c r="I468" s="44"/>
      <c r="J468" s="31" t="str">
        <f t="shared" si="42"/>
        <v/>
      </c>
      <c r="K468" s="34"/>
      <c r="L468" s="35"/>
      <c r="M468" s="34"/>
      <c r="N468" s="34"/>
      <c r="O468" s="2" t="str">
        <f t="shared" si="40"/>
        <v xml:space="preserve"> </v>
      </c>
    </row>
    <row r="469" spans="1:15" s="2" customFormat="1" x14ac:dyDescent="0.2">
      <c r="A469" s="28"/>
      <c r="B469" s="29"/>
      <c r="C469" s="30" t="str">
        <f t="shared" si="43"/>
        <v/>
      </c>
      <c r="D469" s="31"/>
      <c r="E469" s="31"/>
      <c r="F469" s="32"/>
      <c r="G469" s="33" t="str">
        <f t="shared" si="44"/>
        <v/>
      </c>
      <c r="H469" s="32" t="str">
        <f t="shared" si="41"/>
        <v/>
      </c>
      <c r="I469" s="44"/>
      <c r="J469" s="31" t="str">
        <f t="shared" si="42"/>
        <v/>
      </c>
      <c r="K469" s="34"/>
      <c r="L469" s="35"/>
      <c r="M469" s="34"/>
      <c r="N469" s="34"/>
      <c r="O469" s="2" t="str">
        <f t="shared" si="40"/>
        <v xml:space="preserve"> </v>
      </c>
    </row>
    <row r="470" spans="1:15" s="2" customFormat="1" x14ac:dyDescent="0.2">
      <c r="A470" s="28"/>
      <c r="B470" s="29"/>
      <c r="C470" s="30" t="str">
        <f t="shared" si="43"/>
        <v/>
      </c>
      <c r="D470" s="31"/>
      <c r="E470" s="31"/>
      <c r="F470" s="32"/>
      <c r="G470" s="33" t="str">
        <f t="shared" si="44"/>
        <v/>
      </c>
      <c r="H470" s="32" t="str">
        <f t="shared" si="41"/>
        <v/>
      </c>
      <c r="I470" s="44"/>
      <c r="J470" s="31" t="str">
        <f t="shared" si="42"/>
        <v/>
      </c>
      <c r="K470" s="34"/>
      <c r="L470" s="35"/>
      <c r="M470" s="34"/>
      <c r="N470" s="34"/>
      <c r="O470" s="2" t="str">
        <f t="shared" si="40"/>
        <v xml:space="preserve"> </v>
      </c>
    </row>
    <row r="471" spans="1:15" s="2" customFormat="1" x14ac:dyDescent="0.2">
      <c r="A471" s="28"/>
      <c r="B471" s="29"/>
      <c r="C471" s="30" t="str">
        <f t="shared" si="43"/>
        <v/>
      </c>
      <c r="D471" s="31"/>
      <c r="E471" s="31"/>
      <c r="F471" s="32"/>
      <c r="G471" s="33" t="str">
        <f t="shared" si="44"/>
        <v/>
      </c>
      <c r="H471" s="32" t="str">
        <f t="shared" si="41"/>
        <v/>
      </c>
      <c r="I471" s="44"/>
      <c r="J471" s="31" t="str">
        <f t="shared" si="42"/>
        <v/>
      </c>
      <c r="K471" s="34"/>
      <c r="L471" s="35"/>
      <c r="M471" s="34"/>
      <c r="N471" s="34"/>
      <c r="O471" s="2" t="str">
        <f t="shared" si="40"/>
        <v xml:space="preserve"> </v>
      </c>
    </row>
    <row r="472" spans="1:15" s="2" customFormat="1" x14ac:dyDescent="0.2">
      <c r="A472" s="28"/>
      <c r="B472" s="29"/>
      <c r="C472" s="30" t="str">
        <f t="shared" si="43"/>
        <v/>
      </c>
      <c r="D472" s="31"/>
      <c r="E472" s="31"/>
      <c r="F472" s="32"/>
      <c r="G472" s="33" t="str">
        <f t="shared" si="44"/>
        <v/>
      </c>
      <c r="H472" s="32" t="str">
        <f t="shared" si="41"/>
        <v/>
      </c>
      <c r="I472" s="44"/>
      <c r="J472" s="31" t="str">
        <f t="shared" si="42"/>
        <v/>
      </c>
      <c r="K472" s="34"/>
      <c r="L472" s="35"/>
      <c r="M472" s="34"/>
      <c r="N472" s="34"/>
      <c r="O472" s="2" t="str">
        <f t="shared" si="40"/>
        <v xml:space="preserve"> </v>
      </c>
    </row>
    <row r="473" spans="1:15" s="2" customFormat="1" x14ac:dyDescent="0.2">
      <c r="A473" s="28"/>
      <c r="B473" s="29"/>
      <c r="C473" s="30" t="str">
        <f t="shared" si="43"/>
        <v/>
      </c>
      <c r="D473" s="31"/>
      <c r="E473" s="31"/>
      <c r="F473" s="32"/>
      <c r="G473" s="33" t="str">
        <f t="shared" si="44"/>
        <v/>
      </c>
      <c r="H473" s="32" t="str">
        <f t="shared" si="41"/>
        <v/>
      </c>
      <c r="I473" s="44"/>
      <c r="J473" s="31" t="str">
        <f t="shared" si="42"/>
        <v/>
      </c>
      <c r="K473" s="34"/>
      <c r="L473" s="35"/>
      <c r="M473" s="34"/>
      <c r="N473" s="34"/>
      <c r="O473" s="2" t="str">
        <f t="shared" si="40"/>
        <v xml:space="preserve"> </v>
      </c>
    </row>
    <row r="474" spans="1:15" s="2" customFormat="1" x14ac:dyDescent="0.2">
      <c r="A474" s="28"/>
      <c r="B474" s="29"/>
      <c r="C474" s="30" t="str">
        <f t="shared" si="43"/>
        <v/>
      </c>
      <c r="D474" s="31"/>
      <c r="E474" s="31"/>
      <c r="F474" s="32"/>
      <c r="G474" s="33" t="str">
        <f t="shared" si="44"/>
        <v/>
      </c>
      <c r="H474" s="32" t="str">
        <f t="shared" si="41"/>
        <v/>
      </c>
      <c r="I474" s="44"/>
      <c r="J474" s="31" t="str">
        <f t="shared" si="42"/>
        <v/>
      </c>
      <c r="K474" s="34"/>
      <c r="L474" s="35"/>
      <c r="M474" s="34"/>
      <c r="N474" s="34"/>
      <c r="O474" s="2" t="str">
        <f t="shared" si="40"/>
        <v xml:space="preserve"> </v>
      </c>
    </row>
    <row r="475" spans="1:15" s="2" customFormat="1" x14ac:dyDescent="0.2">
      <c r="A475" s="28"/>
      <c r="B475" s="29"/>
      <c r="C475" s="30" t="str">
        <f t="shared" si="43"/>
        <v/>
      </c>
      <c r="D475" s="31"/>
      <c r="E475" s="31"/>
      <c r="F475" s="32"/>
      <c r="G475" s="33" t="str">
        <f t="shared" si="44"/>
        <v/>
      </c>
      <c r="H475" s="32" t="str">
        <f t="shared" si="41"/>
        <v/>
      </c>
      <c r="I475" s="44"/>
      <c r="J475" s="31" t="str">
        <f t="shared" si="42"/>
        <v/>
      </c>
      <c r="K475" s="34"/>
      <c r="L475" s="35"/>
      <c r="M475" s="34"/>
      <c r="N475" s="34"/>
      <c r="O475" s="2" t="str">
        <f t="shared" si="40"/>
        <v xml:space="preserve"> </v>
      </c>
    </row>
    <row r="476" spans="1:15" s="2" customFormat="1" x14ac:dyDescent="0.2">
      <c r="A476" s="28"/>
      <c r="B476" s="29"/>
      <c r="C476" s="30" t="str">
        <f t="shared" si="43"/>
        <v/>
      </c>
      <c r="D476" s="31"/>
      <c r="E476" s="31"/>
      <c r="F476" s="32"/>
      <c r="G476" s="33" t="str">
        <f t="shared" si="44"/>
        <v/>
      </c>
      <c r="H476" s="32" t="str">
        <f t="shared" si="41"/>
        <v/>
      </c>
      <c r="I476" s="44"/>
      <c r="J476" s="31" t="str">
        <f t="shared" si="42"/>
        <v/>
      </c>
      <c r="K476" s="34"/>
      <c r="L476" s="35"/>
      <c r="M476" s="34"/>
      <c r="N476" s="34"/>
      <c r="O476" s="2" t="str">
        <f t="shared" si="40"/>
        <v xml:space="preserve"> </v>
      </c>
    </row>
    <row r="477" spans="1:15" s="2" customFormat="1" x14ac:dyDescent="0.2">
      <c r="A477" s="28"/>
      <c r="B477" s="29"/>
      <c r="C477" s="30" t="str">
        <f t="shared" si="43"/>
        <v/>
      </c>
      <c r="D477" s="31"/>
      <c r="E477" s="31"/>
      <c r="F477" s="32"/>
      <c r="G477" s="33" t="str">
        <f t="shared" si="44"/>
        <v/>
      </c>
      <c r="H477" s="32" t="str">
        <f t="shared" si="41"/>
        <v/>
      </c>
      <c r="I477" s="44"/>
      <c r="J477" s="31" t="str">
        <f t="shared" si="42"/>
        <v/>
      </c>
      <c r="K477" s="34"/>
      <c r="L477" s="35"/>
      <c r="M477" s="34"/>
      <c r="N477" s="34"/>
      <c r="O477" s="2" t="str">
        <f t="shared" si="40"/>
        <v xml:space="preserve"> </v>
      </c>
    </row>
    <row r="478" spans="1:15" s="2" customFormat="1" x14ac:dyDescent="0.2">
      <c r="A478" s="28"/>
      <c r="B478" s="29"/>
      <c r="C478" s="30" t="str">
        <f t="shared" si="43"/>
        <v/>
      </c>
      <c r="D478" s="31"/>
      <c r="E478" s="31"/>
      <c r="F478" s="32"/>
      <c r="G478" s="33" t="str">
        <f t="shared" si="44"/>
        <v/>
      </c>
      <c r="H478" s="32" t="str">
        <f t="shared" si="41"/>
        <v/>
      </c>
      <c r="I478" s="44"/>
      <c r="J478" s="31" t="str">
        <f t="shared" si="42"/>
        <v/>
      </c>
      <c r="K478" s="34"/>
      <c r="L478" s="35"/>
      <c r="M478" s="34"/>
      <c r="N478" s="34"/>
      <c r="O478" s="2" t="str">
        <f t="shared" si="40"/>
        <v xml:space="preserve"> </v>
      </c>
    </row>
    <row r="479" spans="1:15" s="2" customFormat="1" x14ac:dyDescent="0.2">
      <c r="A479" s="28"/>
      <c r="B479" s="29"/>
      <c r="C479" s="30" t="str">
        <f t="shared" si="43"/>
        <v/>
      </c>
      <c r="D479" s="31"/>
      <c r="E479" s="31"/>
      <c r="F479" s="32"/>
      <c r="G479" s="33" t="str">
        <f t="shared" si="44"/>
        <v/>
      </c>
      <c r="H479" s="32" t="str">
        <f t="shared" si="41"/>
        <v/>
      </c>
      <c r="I479" s="44"/>
      <c r="J479" s="31" t="str">
        <f t="shared" si="42"/>
        <v/>
      </c>
      <c r="K479" s="34"/>
      <c r="L479" s="35"/>
      <c r="M479" s="34"/>
      <c r="N479" s="34"/>
      <c r="O479" s="2" t="str">
        <f t="shared" si="40"/>
        <v xml:space="preserve"> </v>
      </c>
    </row>
    <row r="480" spans="1:15" s="2" customFormat="1" x14ac:dyDescent="0.2">
      <c r="A480" s="28"/>
      <c r="B480" s="29"/>
      <c r="C480" s="30" t="str">
        <f t="shared" si="43"/>
        <v/>
      </c>
      <c r="D480" s="31"/>
      <c r="E480" s="31"/>
      <c r="F480" s="32"/>
      <c r="G480" s="33" t="str">
        <f t="shared" si="44"/>
        <v/>
      </c>
      <c r="H480" s="32" t="str">
        <f t="shared" si="41"/>
        <v/>
      </c>
      <c r="I480" s="44"/>
      <c r="J480" s="31" t="str">
        <f t="shared" si="42"/>
        <v/>
      </c>
      <c r="K480" s="34"/>
      <c r="L480" s="35"/>
      <c r="M480" s="34"/>
      <c r="N480" s="34"/>
      <c r="O480" s="2" t="str">
        <f t="shared" si="40"/>
        <v xml:space="preserve"> </v>
      </c>
    </row>
    <row r="481" spans="1:15" s="2" customFormat="1" x14ac:dyDescent="0.2">
      <c r="A481" s="28"/>
      <c r="B481" s="29"/>
      <c r="C481" s="30" t="str">
        <f t="shared" si="43"/>
        <v/>
      </c>
      <c r="D481" s="31"/>
      <c r="E481" s="31"/>
      <c r="F481" s="32"/>
      <c r="G481" s="33" t="str">
        <f t="shared" si="44"/>
        <v/>
      </c>
      <c r="H481" s="32" t="str">
        <f t="shared" si="41"/>
        <v/>
      </c>
      <c r="I481" s="44"/>
      <c r="J481" s="31" t="str">
        <f t="shared" si="42"/>
        <v/>
      </c>
      <c r="K481" s="34"/>
      <c r="L481" s="35"/>
      <c r="M481" s="34"/>
      <c r="N481" s="34"/>
      <c r="O481" s="2" t="str">
        <f t="shared" si="40"/>
        <v xml:space="preserve"> </v>
      </c>
    </row>
    <row r="482" spans="1:15" s="2" customFormat="1" x14ac:dyDescent="0.2">
      <c r="A482" s="28"/>
      <c r="B482" s="29"/>
      <c r="C482" s="30" t="str">
        <f t="shared" si="43"/>
        <v/>
      </c>
      <c r="D482" s="31"/>
      <c r="E482" s="31"/>
      <c r="F482" s="32"/>
      <c r="G482" s="33" t="str">
        <f t="shared" si="44"/>
        <v/>
      </c>
      <c r="H482" s="32" t="str">
        <f t="shared" si="41"/>
        <v/>
      </c>
      <c r="I482" s="44"/>
      <c r="J482" s="31" t="str">
        <f t="shared" si="42"/>
        <v/>
      </c>
      <c r="K482" s="34"/>
      <c r="L482" s="35"/>
      <c r="M482" s="34"/>
      <c r="N482" s="34"/>
      <c r="O482" s="2" t="str">
        <f t="shared" si="40"/>
        <v xml:space="preserve"> </v>
      </c>
    </row>
    <row r="483" spans="1:15" s="2" customFormat="1" x14ac:dyDescent="0.2">
      <c r="A483" s="28"/>
      <c r="B483" s="29"/>
      <c r="C483" s="30" t="str">
        <f t="shared" si="43"/>
        <v/>
      </c>
      <c r="D483" s="31"/>
      <c r="E483" s="31"/>
      <c r="F483" s="32"/>
      <c r="G483" s="33" t="str">
        <f t="shared" si="44"/>
        <v/>
      </c>
      <c r="H483" s="32" t="str">
        <f t="shared" si="41"/>
        <v/>
      </c>
      <c r="I483" s="44"/>
      <c r="J483" s="31" t="str">
        <f t="shared" si="42"/>
        <v/>
      </c>
      <c r="K483" s="34"/>
      <c r="L483" s="35"/>
      <c r="M483" s="34"/>
      <c r="N483" s="34"/>
      <c r="O483" s="2" t="str">
        <f t="shared" si="40"/>
        <v xml:space="preserve"> </v>
      </c>
    </row>
    <row r="484" spans="1:15" s="2" customFormat="1" x14ac:dyDescent="0.2">
      <c r="A484" s="28"/>
      <c r="B484" s="29"/>
      <c r="C484" s="30" t="str">
        <f t="shared" si="43"/>
        <v/>
      </c>
      <c r="D484" s="31"/>
      <c r="E484" s="31"/>
      <c r="F484" s="32"/>
      <c r="G484" s="33" t="str">
        <f t="shared" si="44"/>
        <v/>
      </c>
      <c r="H484" s="32" t="str">
        <f t="shared" si="41"/>
        <v/>
      </c>
      <c r="I484" s="44"/>
      <c r="J484" s="31" t="str">
        <f t="shared" si="42"/>
        <v/>
      </c>
      <c r="K484" s="34"/>
      <c r="L484" s="35"/>
      <c r="M484" s="34"/>
      <c r="N484" s="34"/>
      <c r="O484" s="2" t="str">
        <f t="shared" si="40"/>
        <v xml:space="preserve"> </v>
      </c>
    </row>
    <row r="485" spans="1:15" s="2" customFormat="1" x14ac:dyDescent="0.2">
      <c r="A485" s="28"/>
      <c r="B485" s="29"/>
      <c r="C485" s="30" t="str">
        <f t="shared" si="43"/>
        <v/>
      </c>
      <c r="D485" s="31"/>
      <c r="E485" s="31"/>
      <c r="F485" s="32"/>
      <c r="G485" s="33" t="str">
        <f t="shared" si="44"/>
        <v/>
      </c>
      <c r="H485" s="32" t="str">
        <f t="shared" si="41"/>
        <v/>
      </c>
      <c r="I485" s="44"/>
      <c r="J485" s="31" t="str">
        <f t="shared" si="42"/>
        <v/>
      </c>
      <c r="K485" s="34"/>
      <c r="L485" s="35"/>
      <c r="M485" s="34"/>
      <c r="N485" s="34"/>
      <c r="O485" s="2" t="str">
        <f t="shared" si="40"/>
        <v xml:space="preserve"> </v>
      </c>
    </row>
    <row r="486" spans="1:15" s="2" customFormat="1" x14ac:dyDescent="0.2">
      <c r="A486" s="28"/>
      <c r="B486" s="29"/>
      <c r="C486" s="30" t="str">
        <f t="shared" si="43"/>
        <v/>
      </c>
      <c r="D486" s="31"/>
      <c r="E486" s="31"/>
      <c r="F486" s="32"/>
      <c r="G486" s="33" t="str">
        <f t="shared" si="44"/>
        <v/>
      </c>
      <c r="H486" s="32" t="str">
        <f t="shared" si="41"/>
        <v/>
      </c>
      <c r="I486" s="44"/>
      <c r="J486" s="31" t="str">
        <f t="shared" si="42"/>
        <v/>
      </c>
      <c r="K486" s="34"/>
      <c r="L486" s="35"/>
      <c r="M486" s="34"/>
      <c r="N486" s="34"/>
      <c r="O486" s="2" t="str">
        <f t="shared" si="40"/>
        <v xml:space="preserve"> </v>
      </c>
    </row>
    <row r="487" spans="1:15" s="2" customFormat="1" x14ac:dyDescent="0.2">
      <c r="A487" s="28"/>
      <c r="B487" s="29"/>
      <c r="C487" s="30" t="str">
        <f t="shared" si="43"/>
        <v/>
      </c>
      <c r="D487" s="31"/>
      <c r="E487" s="31"/>
      <c r="F487" s="32"/>
      <c r="G487" s="33" t="str">
        <f t="shared" si="44"/>
        <v/>
      </c>
      <c r="H487" s="32" t="str">
        <f t="shared" si="41"/>
        <v/>
      </c>
      <c r="I487" s="44"/>
      <c r="J487" s="31" t="str">
        <f t="shared" si="42"/>
        <v/>
      </c>
      <c r="K487" s="34"/>
      <c r="L487" s="35"/>
      <c r="M487" s="34"/>
      <c r="N487" s="34"/>
      <c r="O487" s="2" t="str">
        <f t="shared" si="40"/>
        <v xml:space="preserve"> </v>
      </c>
    </row>
    <row r="488" spans="1:15" s="2" customFormat="1" x14ac:dyDescent="0.2">
      <c r="A488" s="28"/>
      <c r="B488" s="29"/>
      <c r="C488" s="30" t="str">
        <f t="shared" si="43"/>
        <v/>
      </c>
      <c r="D488" s="31"/>
      <c r="E488" s="31"/>
      <c r="F488" s="32"/>
      <c r="G488" s="33" t="str">
        <f t="shared" si="44"/>
        <v/>
      </c>
      <c r="H488" s="32" t="str">
        <f t="shared" si="41"/>
        <v/>
      </c>
      <c r="I488" s="44"/>
      <c r="J488" s="31" t="str">
        <f t="shared" si="42"/>
        <v/>
      </c>
      <c r="K488" s="34"/>
      <c r="L488" s="35"/>
      <c r="M488" s="34"/>
      <c r="N488" s="34"/>
      <c r="O488" s="2" t="str">
        <f t="shared" si="40"/>
        <v xml:space="preserve"> </v>
      </c>
    </row>
    <row r="489" spans="1:15" s="2" customFormat="1" x14ac:dyDescent="0.2">
      <c r="A489" s="28"/>
      <c r="B489" s="29"/>
      <c r="C489" s="30" t="str">
        <f t="shared" si="43"/>
        <v/>
      </c>
      <c r="D489" s="31"/>
      <c r="E489" s="31"/>
      <c r="F489" s="32"/>
      <c r="G489" s="33" t="str">
        <f t="shared" si="44"/>
        <v/>
      </c>
      <c r="H489" s="32" t="str">
        <f t="shared" si="41"/>
        <v/>
      </c>
      <c r="I489" s="44"/>
      <c r="J489" s="31" t="str">
        <f t="shared" si="42"/>
        <v/>
      </c>
      <c r="K489" s="34"/>
      <c r="L489" s="35"/>
      <c r="M489" s="34"/>
      <c r="N489" s="34"/>
      <c r="O489" s="2" t="str">
        <f t="shared" si="40"/>
        <v xml:space="preserve"> </v>
      </c>
    </row>
    <row r="490" spans="1:15" s="2" customFormat="1" x14ac:dyDescent="0.2">
      <c r="A490" s="28"/>
      <c r="B490" s="29"/>
      <c r="C490" s="30" t="str">
        <f t="shared" si="43"/>
        <v/>
      </c>
      <c r="D490" s="31"/>
      <c r="E490" s="31"/>
      <c r="F490" s="32"/>
      <c r="G490" s="33" t="str">
        <f t="shared" si="44"/>
        <v/>
      </c>
      <c r="H490" s="32" t="str">
        <f t="shared" si="41"/>
        <v/>
      </c>
      <c r="I490" s="44"/>
      <c r="J490" s="31" t="str">
        <f t="shared" si="42"/>
        <v/>
      </c>
      <c r="K490" s="34"/>
      <c r="L490" s="35"/>
      <c r="M490" s="34"/>
      <c r="N490" s="34"/>
      <c r="O490" s="2" t="str">
        <f t="shared" si="40"/>
        <v xml:space="preserve"> </v>
      </c>
    </row>
    <row r="491" spans="1:15" s="2" customFormat="1" x14ac:dyDescent="0.2">
      <c r="A491" s="28"/>
      <c r="B491" s="29"/>
      <c r="C491" s="30" t="str">
        <f t="shared" si="43"/>
        <v/>
      </c>
      <c r="D491" s="31"/>
      <c r="E491" s="31"/>
      <c r="F491" s="32"/>
      <c r="G491" s="33" t="str">
        <f t="shared" si="44"/>
        <v/>
      </c>
      <c r="H491" s="32" t="str">
        <f t="shared" si="41"/>
        <v/>
      </c>
      <c r="I491" s="44"/>
      <c r="J491" s="31" t="str">
        <f t="shared" si="42"/>
        <v/>
      </c>
      <c r="K491" s="34"/>
      <c r="L491" s="35"/>
      <c r="M491" s="34"/>
      <c r="N491" s="34"/>
      <c r="O491" s="2" t="str">
        <f t="shared" si="40"/>
        <v xml:space="preserve"> </v>
      </c>
    </row>
    <row r="492" spans="1:15" s="2" customFormat="1" x14ac:dyDescent="0.2">
      <c r="A492" s="28"/>
      <c r="B492" s="29"/>
      <c r="C492" s="30" t="str">
        <f t="shared" si="43"/>
        <v/>
      </c>
      <c r="D492" s="31"/>
      <c r="E492" s="31"/>
      <c r="F492" s="32"/>
      <c r="G492" s="33" t="str">
        <f t="shared" si="44"/>
        <v/>
      </c>
      <c r="H492" s="32" t="str">
        <f t="shared" si="41"/>
        <v/>
      </c>
      <c r="I492" s="44"/>
      <c r="J492" s="31" t="str">
        <f t="shared" si="42"/>
        <v/>
      </c>
      <c r="K492" s="34"/>
      <c r="L492" s="35"/>
      <c r="M492" s="34"/>
      <c r="N492" s="34"/>
      <c r="O492" s="2" t="str">
        <f t="shared" si="40"/>
        <v xml:space="preserve"> </v>
      </c>
    </row>
    <row r="493" spans="1:15" s="2" customFormat="1" x14ac:dyDescent="0.2">
      <c r="A493" s="28"/>
      <c r="B493" s="29"/>
      <c r="C493" s="30" t="str">
        <f t="shared" si="43"/>
        <v/>
      </c>
      <c r="D493" s="31"/>
      <c r="E493" s="31"/>
      <c r="F493" s="32"/>
      <c r="G493" s="33" t="str">
        <f t="shared" si="44"/>
        <v/>
      </c>
      <c r="H493" s="32" t="str">
        <f t="shared" si="41"/>
        <v/>
      </c>
      <c r="I493" s="44"/>
      <c r="J493" s="31" t="str">
        <f t="shared" si="42"/>
        <v/>
      </c>
      <c r="K493" s="34"/>
      <c r="L493" s="35"/>
      <c r="M493" s="34"/>
      <c r="N493" s="34"/>
      <c r="O493" s="2" t="str">
        <f t="shared" si="40"/>
        <v xml:space="preserve"> </v>
      </c>
    </row>
    <row r="494" spans="1:15" s="2" customFormat="1" x14ac:dyDescent="0.2">
      <c r="A494" s="28"/>
      <c r="B494" s="29"/>
      <c r="C494" s="30" t="str">
        <f t="shared" si="43"/>
        <v/>
      </c>
      <c r="D494" s="31"/>
      <c r="E494" s="31"/>
      <c r="F494" s="32"/>
      <c r="G494" s="33" t="str">
        <f t="shared" si="44"/>
        <v/>
      </c>
      <c r="H494" s="32" t="str">
        <f t="shared" si="41"/>
        <v/>
      </c>
      <c r="I494" s="44"/>
      <c r="J494" s="31" t="str">
        <f t="shared" si="42"/>
        <v/>
      </c>
      <c r="K494" s="34"/>
      <c r="L494" s="35"/>
      <c r="M494" s="34"/>
      <c r="N494" s="34"/>
      <c r="O494" s="2" t="str">
        <f t="shared" si="40"/>
        <v xml:space="preserve"> </v>
      </c>
    </row>
    <row r="495" spans="1:15" s="2" customFormat="1" x14ac:dyDescent="0.2">
      <c r="A495" s="28"/>
      <c r="B495" s="29"/>
      <c r="C495" s="30" t="str">
        <f t="shared" si="43"/>
        <v/>
      </c>
      <c r="D495" s="31"/>
      <c r="E495" s="31"/>
      <c r="F495" s="32"/>
      <c r="G495" s="33" t="str">
        <f t="shared" si="44"/>
        <v/>
      </c>
      <c r="H495" s="32" t="str">
        <f t="shared" si="41"/>
        <v/>
      </c>
      <c r="I495" s="44"/>
      <c r="J495" s="31" t="str">
        <f t="shared" si="42"/>
        <v/>
      </c>
      <c r="K495" s="34"/>
      <c r="L495" s="35"/>
      <c r="M495" s="34"/>
      <c r="N495" s="34"/>
      <c r="O495" s="2" t="str">
        <f t="shared" si="40"/>
        <v xml:space="preserve"> </v>
      </c>
    </row>
    <row r="496" spans="1:15" s="2" customFormat="1" x14ac:dyDescent="0.2">
      <c r="A496" s="28"/>
      <c r="B496" s="29"/>
      <c r="C496" s="30" t="str">
        <f t="shared" si="43"/>
        <v/>
      </c>
      <c r="D496" s="31"/>
      <c r="E496" s="31"/>
      <c r="F496" s="32"/>
      <c r="G496" s="33" t="str">
        <f t="shared" si="44"/>
        <v/>
      </c>
      <c r="H496" s="32" t="str">
        <f t="shared" si="41"/>
        <v/>
      </c>
      <c r="I496" s="44"/>
      <c r="J496" s="31" t="str">
        <f t="shared" si="42"/>
        <v/>
      </c>
      <c r="K496" s="34"/>
      <c r="L496" s="35"/>
      <c r="M496" s="34"/>
      <c r="N496" s="34"/>
      <c r="O496" s="2" t="str">
        <f t="shared" si="40"/>
        <v xml:space="preserve"> </v>
      </c>
    </row>
    <row r="497" spans="1:18" s="2" customFormat="1" x14ac:dyDescent="0.2">
      <c r="A497" s="28"/>
      <c r="B497" s="29"/>
      <c r="C497" s="30" t="str">
        <f t="shared" si="43"/>
        <v/>
      </c>
      <c r="D497" s="31"/>
      <c r="E497" s="31"/>
      <c r="F497" s="32"/>
      <c r="G497" s="33" t="str">
        <f t="shared" si="44"/>
        <v/>
      </c>
      <c r="H497" s="32" t="str">
        <f t="shared" si="41"/>
        <v/>
      </c>
      <c r="I497" s="44"/>
      <c r="J497" s="31" t="str">
        <f t="shared" si="42"/>
        <v/>
      </c>
      <c r="K497" s="34"/>
      <c r="L497" s="35"/>
      <c r="M497" s="34"/>
      <c r="N497" s="34"/>
      <c r="O497" s="2" t="str">
        <f t="shared" si="40"/>
        <v xml:space="preserve"> </v>
      </c>
    </row>
    <row r="498" spans="1:18" s="2" customFormat="1" x14ac:dyDescent="0.2">
      <c r="A498" s="28"/>
      <c r="B498" s="29"/>
      <c r="C498" s="30" t="str">
        <f t="shared" si="43"/>
        <v/>
      </c>
      <c r="D498" s="31"/>
      <c r="E498" s="31"/>
      <c r="F498" s="32"/>
      <c r="G498" s="33" t="str">
        <f t="shared" si="44"/>
        <v/>
      </c>
      <c r="H498" s="32" t="str">
        <f t="shared" si="41"/>
        <v/>
      </c>
      <c r="I498" s="44"/>
      <c r="J498" s="31" t="str">
        <f t="shared" si="42"/>
        <v/>
      </c>
      <c r="K498" s="34"/>
      <c r="L498" s="35"/>
      <c r="M498" s="34"/>
      <c r="N498" s="34"/>
      <c r="O498" s="2" t="str">
        <f t="shared" si="40"/>
        <v xml:space="preserve"> </v>
      </c>
    </row>
    <row r="499" spans="1:18" s="2" customFormat="1" x14ac:dyDescent="0.2">
      <c r="A499" s="28"/>
      <c r="B499" s="29"/>
      <c r="C499" s="30" t="str">
        <f t="shared" si="43"/>
        <v/>
      </c>
      <c r="D499" s="31"/>
      <c r="E499" s="31"/>
      <c r="F499" s="32"/>
      <c r="G499" s="33" t="str">
        <f t="shared" si="44"/>
        <v/>
      </c>
      <c r="H499" s="32" t="str">
        <f t="shared" si="41"/>
        <v/>
      </c>
      <c r="I499" s="44"/>
      <c r="J499" s="31" t="str">
        <f t="shared" si="42"/>
        <v/>
      </c>
      <c r="K499" s="34"/>
      <c r="L499" s="35"/>
      <c r="M499" s="34"/>
      <c r="N499" s="34"/>
      <c r="O499" s="2" t="str">
        <f t="shared" si="40"/>
        <v xml:space="preserve"> </v>
      </c>
    </row>
    <row r="500" spans="1:18" s="2" customFormat="1" x14ac:dyDescent="0.2">
      <c r="A500" s="28"/>
      <c r="B500" s="29"/>
      <c r="C500" s="30" t="str">
        <f t="shared" ref="C500:C563" si="45">IF(B500="","",TEXT(DAY(B500),"00")&amp;"/"&amp;TEXT(MONTH(B500),"00"))</f>
        <v/>
      </c>
      <c r="D500" s="31"/>
      <c r="E500" s="31"/>
      <c r="F500" s="32"/>
      <c r="G500" s="33" t="str">
        <f t="shared" si="44"/>
        <v/>
      </c>
      <c r="H500" s="32" t="str">
        <f t="shared" si="41"/>
        <v/>
      </c>
      <c r="I500" s="44"/>
      <c r="J500" s="31" t="str">
        <f t="shared" si="42"/>
        <v/>
      </c>
      <c r="K500" s="34"/>
      <c r="L500" s="35"/>
      <c r="M500" s="34"/>
      <c r="N500" s="34"/>
    </row>
    <row r="501" spans="1:18" s="34" customFormat="1" x14ac:dyDescent="0.2">
      <c r="A501" s="28"/>
      <c r="B501" s="29"/>
      <c r="C501" s="30" t="str">
        <f t="shared" si="45"/>
        <v/>
      </c>
      <c r="D501" s="31"/>
      <c r="E501" s="31"/>
      <c r="F501" s="32"/>
      <c r="G501" s="33" t="str">
        <f t="shared" si="44"/>
        <v/>
      </c>
      <c r="H501" s="32" t="str">
        <f t="shared" si="41"/>
        <v/>
      </c>
      <c r="I501" s="44"/>
      <c r="J501" s="31" t="str">
        <f t="shared" si="42"/>
        <v/>
      </c>
      <c r="L501" s="35"/>
      <c r="O501" s="2"/>
      <c r="P501" s="2"/>
      <c r="Q501" s="2"/>
      <c r="R501" s="2"/>
    </row>
    <row r="502" spans="1:18" s="34" customFormat="1" x14ac:dyDescent="0.2">
      <c r="A502" s="28"/>
      <c r="B502" s="29"/>
      <c r="C502" s="30" t="str">
        <f t="shared" si="45"/>
        <v/>
      </c>
      <c r="D502" s="31"/>
      <c r="E502" s="31"/>
      <c r="F502" s="32"/>
      <c r="G502" s="33" t="str">
        <f t="shared" si="44"/>
        <v/>
      </c>
      <c r="H502" s="32" t="str">
        <f t="shared" si="41"/>
        <v/>
      </c>
      <c r="I502" s="44"/>
      <c r="J502" s="31" t="str">
        <f t="shared" si="42"/>
        <v/>
      </c>
      <c r="L502" s="35"/>
      <c r="O502" s="2"/>
      <c r="P502" s="2"/>
      <c r="Q502" s="2"/>
      <c r="R502" s="2"/>
    </row>
    <row r="503" spans="1:18" s="34" customFormat="1" x14ac:dyDescent="0.2">
      <c r="A503" s="28"/>
      <c r="B503" s="29"/>
      <c r="C503" s="30" t="str">
        <f t="shared" si="45"/>
        <v/>
      </c>
      <c r="D503" s="31"/>
      <c r="E503" s="31"/>
      <c r="F503" s="32"/>
      <c r="G503" s="33" t="str">
        <f t="shared" si="44"/>
        <v/>
      </c>
      <c r="H503" s="32" t="str">
        <f t="shared" si="41"/>
        <v/>
      </c>
      <c r="I503" s="44"/>
      <c r="J503" s="31" t="str">
        <f t="shared" si="42"/>
        <v/>
      </c>
      <c r="L503" s="35"/>
      <c r="O503" s="2"/>
      <c r="P503" s="2"/>
      <c r="Q503" s="2"/>
      <c r="R503" s="2"/>
    </row>
    <row r="504" spans="1:18" s="34" customFormat="1" x14ac:dyDescent="0.2">
      <c r="A504" s="28"/>
      <c r="B504" s="29"/>
      <c r="C504" s="30" t="str">
        <f t="shared" si="45"/>
        <v/>
      </c>
      <c r="D504" s="31"/>
      <c r="E504" s="31"/>
      <c r="F504" s="32"/>
      <c r="G504" s="33" t="str">
        <f t="shared" si="44"/>
        <v/>
      </c>
      <c r="H504" s="32" t="str">
        <f t="shared" si="41"/>
        <v/>
      </c>
      <c r="I504" s="44"/>
      <c r="J504" s="31" t="str">
        <f t="shared" si="42"/>
        <v/>
      </c>
      <c r="L504" s="35"/>
      <c r="O504" s="2"/>
      <c r="P504" s="2"/>
      <c r="Q504" s="2"/>
      <c r="R504" s="2"/>
    </row>
    <row r="505" spans="1:18" s="34" customFormat="1" x14ac:dyDescent="0.2">
      <c r="A505" s="28"/>
      <c r="B505" s="29"/>
      <c r="C505" s="30" t="str">
        <f t="shared" si="45"/>
        <v/>
      </c>
      <c r="D505" s="31"/>
      <c r="E505" s="31"/>
      <c r="F505" s="32"/>
      <c r="G505" s="33" t="str">
        <f t="shared" si="44"/>
        <v/>
      </c>
      <c r="H505" s="32" t="str">
        <f t="shared" si="41"/>
        <v/>
      </c>
      <c r="I505" s="44"/>
      <c r="J505" s="31" t="str">
        <f t="shared" si="42"/>
        <v/>
      </c>
      <c r="L505" s="35"/>
      <c r="O505" s="2"/>
      <c r="P505" s="2"/>
      <c r="Q505" s="2"/>
      <c r="R505" s="2"/>
    </row>
    <row r="506" spans="1:18" s="34" customFormat="1" x14ac:dyDescent="0.2">
      <c r="A506" s="28"/>
      <c r="B506" s="29"/>
      <c r="C506" s="30" t="str">
        <f t="shared" si="45"/>
        <v/>
      </c>
      <c r="D506" s="31"/>
      <c r="E506" s="31"/>
      <c r="F506" s="32"/>
      <c r="G506" s="33" t="str">
        <f t="shared" si="44"/>
        <v/>
      </c>
      <c r="H506" s="32" t="str">
        <f t="shared" si="41"/>
        <v/>
      </c>
      <c r="I506" s="44"/>
      <c r="J506" s="31" t="str">
        <f t="shared" si="42"/>
        <v/>
      </c>
      <c r="L506" s="35"/>
      <c r="O506" s="2"/>
      <c r="P506" s="2"/>
      <c r="Q506" s="2"/>
      <c r="R506" s="2"/>
    </row>
    <row r="507" spans="1:18" s="34" customFormat="1" x14ac:dyDescent="0.2">
      <c r="A507" s="28"/>
      <c r="B507" s="29"/>
      <c r="C507" s="30" t="str">
        <f t="shared" si="45"/>
        <v/>
      </c>
      <c r="D507" s="31"/>
      <c r="E507" s="31"/>
      <c r="F507" s="32"/>
      <c r="G507" s="33" t="str">
        <f t="shared" si="44"/>
        <v/>
      </c>
      <c r="H507" s="32" t="str">
        <f t="shared" si="41"/>
        <v/>
      </c>
      <c r="I507" s="44"/>
      <c r="J507" s="31" t="str">
        <f t="shared" si="42"/>
        <v/>
      </c>
      <c r="L507" s="35"/>
      <c r="O507" s="2"/>
      <c r="P507" s="2"/>
      <c r="Q507" s="2"/>
      <c r="R507" s="2"/>
    </row>
    <row r="508" spans="1:18" s="34" customFormat="1" x14ac:dyDescent="0.2">
      <c r="A508" s="28"/>
      <c r="B508" s="29"/>
      <c r="C508" s="30" t="str">
        <f t="shared" si="45"/>
        <v/>
      </c>
      <c r="D508" s="31"/>
      <c r="E508" s="31"/>
      <c r="F508" s="32"/>
      <c r="G508" s="33" t="str">
        <f t="shared" si="44"/>
        <v/>
      </c>
      <c r="H508" s="32" t="str">
        <f t="shared" si="41"/>
        <v/>
      </c>
      <c r="I508" s="44"/>
      <c r="J508" s="31" t="str">
        <f t="shared" si="42"/>
        <v/>
      </c>
      <c r="L508" s="35"/>
      <c r="O508" s="2"/>
      <c r="P508" s="2"/>
      <c r="Q508" s="2"/>
      <c r="R508" s="2"/>
    </row>
    <row r="509" spans="1:18" s="34" customFormat="1" x14ac:dyDescent="0.2">
      <c r="A509" s="28"/>
      <c r="B509" s="29"/>
      <c r="C509" s="30" t="str">
        <f t="shared" si="45"/>
        <v/>
      </c>
      <c r="D509" s="31"/>
      <c r="E509" s="31"/>
      <c r="F509" s="32"/>
      <c r="G509" s="33" t="str">
        <f t="shared" si="44"/>
        <v/>
      </c>
      <c r="H509" s="32" t="str">
        <f t="shared" si="41"/>
        <v/>
      </c>
      <c r="I509" s="44"/>
      <c r="J509" s="31" t="str">
        <f t="shared" si="42"/>
        <v/>
      </c>
      <c r="L509" s="35"/>
      <c r="O509" s="2"/>
      <c r="P509" s="2"/>
      <c r="Q509" s="2"/>
      <c r="R509" s="2"/>
    </row>
    <row r="510" spans="1:18" s="34" customFormat="1" x14ac:dyDescent="0.2">
      <c r="A510" s="28"/>
      <c r="B510" s="29"/>
      <c r="C510" s="30" t="str">
        <f t="shared" si="45"/>
        <v/>
      </c>
      <c r="D510" s="31"/>
      <c r="E510" s="31"/>
      <c r="F510" s="32"/>
      <c r="G510" s="33" t="str">
        <f t="shared" si="44"/>
        <v/>
      </c>
      <c r="H510" s="32" t="str">
        <f t="shared" si="41"/>
        <v/>
      </c>
      <c r="I510" s="44"/>
      <c r="J510" s="31" t="str">
        <f t="shared" si="42"/>
        <v/>
      </c>
      <c r="L510" s="35"/>
      <c r="O510" s="2"/>
      <c r="P510" s="2"/>
      <c r="Q510" s="2"/>
      <c r="R510" s="2"/>
    </row>
    <row r="511" spans="1:18" s="34" customFormat="1" x14ac:dyDescent="0.2">
      <c r="A511" s="28"/>
      <c r="B511" s="29"/>
      <c r="C511" s="30" t="str">
        <f t="shared" si="45"/>
        <v/>
      </c>
      <c r="D511" s="31"/>
      <c r="E511" s="31"/>
      <c r="F511" s="32"/>
      <c r="G511" s="33" t="str">
        <f t="shared" si="44"/>
        <v/>
      </c>
      <c r="H511" s="32" t="str">
        <f t="shared" si="41"/>
        <v/>
      </c>
      <c r="I511" s="44"/>
      <c r="J511" s="31" t="str">
        <f t="shared" si="42"/>
        <v/>
      </c>
      <c r="L511" s="35"/>
      <c r="O511" s="2"/>
      <c r="P511" s="2"/>
      <c r="Q511" s="2"/>
      <c r="R511" s="2"/>
    </row>
    <row r="512" spans="1:18" s="34" customFormat="1" x14ac:dyDescent="0.2">
      <c r="A512" s="28"/>
      <c r="B512" s="29"/>
      <c r="C512" s="30" t="str">
        <f t="shared" si="45"/>
        <v/>
      </c>
      <c r="D512" s="31"/>
      <c r="E512" s="31"/>
      <c r="F512" s="32"/>
      <c r="G512" s="33" t="str">
        <f t="shared" si="44"/>
        <v/>
      </c>
      <c r="H512" s="32" t="str">
        <f t="shared" si="41"/>
        <v/>
      </c>
      <c r="I512" s="44"/>
      <c r="J512" s="31" t="str">
        <f t="shared" si="42"/>
        <v/>
      </c>
      <c r="L512" s="35"/>
      <c r="O512" s="2"/>
      <c r="P512" s="2"/>
      <c r="Q512" s="2"/>
      <c r="R512" s="2"/>
    </row>
    <row r="513" spans="1:18" s="34" customFormat="1" x14ac:dyDescent="0.2">
      <c r="A513" s="28"/>
      <c r="B513" s="29"/>
      <c r="C513" s="30" t="str">
        <f t="shared" si="45"/>
        <v/>
      </c>
      <c r="D513" s="31"/>
      <c r="E513" s="31"/>
      <c r="F513" s="32"/>
      <c r="G513" s="33" t="str">
        <f t="shared" si="44"/>
        <v/>
      </c>
      <c r="H513" s="32" t="str">
        <f t="shared" si="41"/>
        <v/>
      </c>
      <c r="I513" s="44"/>
      <c r="J513" s="31" t="str">
        <f t="shared" si="42"/>
        <v/>
      </c>
      <c r="L513" s="35"/>
      <c r="O513" s="2"/>
      <c r="P513" s="2"/>
      <c r="Q513" s="2"/>
      <c r="R513" s="2"/>
    </row>
    <row r="514" spans="1:18" s="34" customFormat="1" x14ac:dyDescent="0.2">
      <c r="A514" s="28"/>
      <c r="B514" s="29"/>
      <c r="C514" s="30" t="str">
        <f t="shared" si="45"/>
        <v/>
      </c>
      <c r="D514" s="31"/>
      <c r="E514" s="31"/>
      <c r="F514" s="32"/>
      <c r="G514" s="33" t="str">
        <f t="shared" si="44"/>
        <v/>
      </c>
      <c r="H514" s="32" t="str">
        <f t="shared" si="41"/>
        <v/>
      </c>
      <c r="I514" s="44"/>
      <c r="J514" s="31" t="str">
        <f t="shared" si="42"/>
        <v/>
      </c>
      <c r="L514" s="35"/>
      <c r="O514" s="2"/>
      <c r="P514" s="2"/>
      <c r="Q514" s="2"/>
      <c r="R514" s="2"/>
    </row>
    <row r="515" spans="1:18" s="34" customFormat="1" x14ac:dyDescent="0.2">
      <c r="A515" s="28"/>
      <c r="B515" s="29"/>
      <c r="C515" s="30" t="str">
        <f t="shared" si="45"/>
        <v/>
      </c>
      <c r="D515" s="31"/>
      <c r="E515" s="31"/>
      <c r="F515" s="32"/>
      <c r="G515" s="33" t="str">
        <f t="shared" si="44"/>
        <v/>
      </c>
      <c r="H515" s="32" t="str">
        <f t="shared" si="41"/>
        <v/>
      </c>
      <c r="I515" s="44"/>
      <c r="J515" s="31" t="str">
        <f t="shared" si="42"/>
        <v/>
      </c>
      <c r="L515" s="35"/>
      <c r="O515" s="2"/>
      <c r="P515" s="2"/>
      <c r="Q515" s="2"/>
      <c r="R515" s="2"/>
    </row>
    <row r="516" spans="1:18" s="34" customFormat="1" x14ac:dyDescent="0.2">
      <c r="A516" s="28"/>
      <c r="B516" s="29"/>
      <c r="C516" s="30" t="str">
        <f t="shared" si="45"/>
        <v/>
      </c>
      <c r="D516" s="31"/>
      <c r="E516" s="31"/>
      <c r="F516" s="32"/>
      <c r="G516" s="33" t="str">
        <f t="shared" si="44"/>
        <v/>
      </c>
      <c r="H516" s="32" t="str">
        <f t="shared" si="41"/>
        <v/>
      </c>
      <c r="I516" s="44"/>
      <c r="J516" s="31" t="str">
        <f t="shared" si="42"/>
        <v/>
      </c>
      <c r="L516" s="35"/>
      <c r="O516" s="2"/>
      <c r="P516" s="2"/>
      <c r="Q516" s="2"/>
      <c r="R516" s="2"/>
    </row>
    <row r="517" spans="1:18" s="34" customFormat="1" x14ac:dyDescent="0.2">
      <c r="A517" s="28"/>
      <c r="B517" s="29"/>
      <c r="C517" s="30" t="str">
        <f t="shared" si="45"/>
        <v/>
      </c>
      <c r="D517" s="31"/>
      <c r="E517" s="31"/>
      <c r="F517" s="32"/>
      <c r="G517" s="33" t="str">
        <f t="shared" si="44"/>
        <v/>
      </c>
      <c r="H517" s="32" t="str">
        <f t="shared" si="41"/>
        <v/>
      </c>
      <c r="I517" s="44"/>
      <c r="J517" s="31" t="str">
        <f t="shared" si="42"/>
        <v/>
      </c>
      <c r="L517" s="35"/>
      <c r="O517" s="2"/>
      <c r="P517" s="2"/>
      <c r="Q517" s="2"/>
      <c r="R517" s="2"/>
    </row>
    <row r="518" spans="1:18" s="34" customFormat="1" x14ac:dyDescent="0.2">
      <c r="A518" s="28"/>
      <c r="B518" s="29"/>
      <c r="C518" s="30" t="str">
        <f t="shared" si="45"/>
        <v/>
      </c>
      <c r="D518" s="31"/>
      <c r="E518" s="31"/>
      <c r="F518" s="32"/>
      <c r="G518" s="33" t="str">
        <f t="shared" si="44"/>
        <v/>
      </c>
      <c r="H518" s="32" t="str">
        <f t="shared" si="41"/>
        <v/>
      </c>
      <c r="I518" s="44"/>
      <c r="J518" s="31" t="str">
        <f t="shared" si="42"/>
        <v/>
      </c>
      <c r="L518" s="35"/>
      <c r="O518" s="2"/>
      <c r="P518" s="2"/>
      <c r="Q518" s="2"/>
      <c r="R518" s="2"/>
    </row>
    <row r="519" spans="1:18" s="34" customFormat="1" x14ac:dyDescent="0.2">
      <c r="A519" s="28"/>
      <c r="B519" s="29"/>
      <c r="C519" s="30" t="str">
        <f t="shared" si="45"/>
        <v/>
      </c>
      <c r="D519" s="31"/>
      <c r="E519" s="31"/>
      <c r="F519" s="32"/>
      <c r="G519" s="33" t="str">
        <f t="shared" si="44"/>
        <v/>
      </c>
      <c r="H519" s="32" t="str">
        <f t="shared" ref="H519:H582" si="46">IF(F519&lt;&gt;"",ABS(F519),"")</f>
        <v/>
      </c>
      <c r="I519" s="44"/>
      <c r="J519" s="31" t="str">
        <f t="shared" ref="J519:J582" si="47">IF(F519=0,"",IF(F519&lt;0,"PAGAMENTO","RECEBIMENTO"))</f>
        <v/>
      </c>
      <c r="L519" s="35"/>
      <c r="O519" s="2"/>
      <c r="P519" s="2"/>
      <c r="Q519" s="2"/>
      <c r="R519" s="2"/>
    </row>
    <row r="520" spans="1:18" s="34" customFormat="1" x14ac:dyDescent="0.2">
      <c r="A520" s="28"/>
      <c r="B520" s="29"/>
      <c r="C520" s="30" t="str">
        <f t="shared" si="45"/>
        <v/>
      </c>
      <c r="D520" s="31"/>
      <c r="E520" s="31"/>
      <c r="F520" s="32"/>
      <c r="G520" s="33" t="str">
        <f t="shared" si="44"/>
        <v/>
      </c>
      <c r="H520" s="32" t="str">
        <f t="shared" si="46"/>
        <v/>
      </c>
      <c r="I520" s="44"/>
      <c r="J520" s="31" t="str">
        <f t="shared" si="47"/>
        <v/>
      </c>
      <c r="L520" s="35"/>
      <c r="O520" s="2"/>
      <c r="P520" s="2"/>
      <c r="Q520" s="2"/>
      <c r="R520" s="2"/>
    </row>
    <row r="521" spans="1:18" s="34" customFormat="1" x14ac:dyDescent="0.2">
      <c r="A521" s="28"/>
      <c r="B521" s="29"/>
      <c r="C521" s="30" t="str">
        <f t="shared" si="45"/>
        <v/>
      </c>
      <c r="D521" s="31"/>
      <c r="E521" s="31"/>
      <c r="F521" s="32"/>
      <c r="G521" s="33" t="str">
        <f t="shared" si="44"/>
        <v/>
      </c>
      <c r="H521" s="32" t="str">
        <f t="shared" si="46"/>
        <v/>
      </c>
      <c r="I521" s="44"/>
      <c r="J521" s="31" t="str">
        <f t="shared" si="47"/>
        <v/>
      </c>
      <c r="L521" s="35"/>
      <c r="O521" s="2"/>
      <c r="P521" s="2"/>
      <c r="Q521" s="2"/>
      <c r="R521" s="2"/>
    </row>
    <row r="522" spans="1:18" s="34" customFormat="1" x14ac:dyDescent="0.2">
      <c r="A522" s="28"/>
      <c r="B522" s="29"/>
      <c r="C522" s="30" t="str">
        <f t="shared" si="45"/>
        <v/>
      </c>
      <c r="D522" s="31"/>
      <c r="E522" s="31"/>
      <c r="F522" s="32"/>
      <c r="G522" s="33" t="str">
        <f t="shared" si="44"/>
        <v/>
      </c>
      <c r="H522" s="32" t="str">
        <f t="shared" si="46"/>
        <v/>
      </c>
      <c r="I522" s="44"/>
      <c r="J522" s="31" t="str">
        <f t="shared" si="47"/>
        <v/>
      </c>
      <c r="L522" s="35"/>
      <c r="O522" s="2"/>
      <c r="P522" s="2"/>
      <c r="Q522" s="2"/>
      <c r="R522" s="2"/>
    </row>
    <row r="523" spans="1:18" s="34" customFormat="1" x14ac:dyDescent="0.2">
      <c r="A523" s="28"/>
      <c r="B523" s="29"/>
      <c r="C523" s="30" t="str">
        <f t="shared" si="45"/>
        <v/>
      </c>
      <c r="D523" s="31"/>
      <c r="E523" s="31"/>
      <c r="F523" s="32"/>
      <c r="G523" s="33" t="str">
        <f t="shared" si="44"/>
        <v/>
      </c>
      <c r="H523" s="32" t="str">
        <f t="shared" si="46"/>
        <v/>
      </c>
      <c r="I523" s="44"/>
      <c r="J523" s="31" t="str">
        <f t="shared" si="47"/>
        <v/>
      </c>
      <c r="L523" s="35"/>
      <c r="O523" s="2"/>
      <c r="P523" s="2"/>
      <c r="Q523" s="2"/>
      <c r="R523" s="2"/>
    </row>
    <row r="524" spans="1:18" s="34" customFormat="1" x14ac:dyDescent="0.2">
      <c r="A524" s="28"/>
      <c r="B524" s="29"/>
      <c r="C524" s="30" t="str">
        <f t="shared" si="45"/>
        <v/>
      </c>
      <c r="D524" s="31"/>
      <c r="E524" s="31"/>
      <c r="F524" s="32"/>
      <c r="G524" s="33" t="str">
        <f t="shared" si="44"/>
        <v/>
      </c>
      <c r="H524" s="32" t="str">
        <f t="shared" si="46"/>
        <v/>
      </c>
      <c r="I524" s="44"/>
      <c r="J524" s="31" t="str">
        <f t="shared" si="47"/>
        <v/>
      </c>
      <c r="L524" s="35"/>
      <c r="O524" s="2"/>
      <c r="P524" s="2"/>
      <c r="Q524" s="2"/>
      <c r="R524" s="2"/>
    </row>
    <row r="525" spans="1:18" s="34" customFormat="1" x14ac:dyDescent="0.2">
      <c r="A525" s="28"/>
      <c r="B525" s="29"/>
      <c r="C525" s="30" t="str">
        <f t="shared" si="45"/>
        <v/>
      </c>
      <c r="D525" s="31"/>
      <c r="E525" s="31"/>
      <c r="F525" s="32"/>
      <c r="G525" s="33" t="str">
        <f t="shared" ref="G525:G588" si="48">IF(F525&lt;&gt;"",F525+G524,"")</f>
        <v/>
      </c>
      <c r="H525" s="32" t="str">
        <f t="shared" si="46"/>
        <v/>
      </c>
      <c r="I525" s="44"/>
      <c r="J525" s="31" t="str">
        <f t="shared" si="47"/>
        <v/>
      </c>
      <c r="L525" s="35"/>
      <c r="O525" s="2"/>
      <c r="P525" s="2"/>
      <c r="Q525" s="2"/>
      <c r="R525" s="2"/>
    </row>
    <row r="526" spans="1:18" s="34" customFormat="1" x14ac:dyDescent="0.2">
      <c r="A526" s="28"/>
      <c r="B526" s="29"/>
      <c r="C526" s="30" t="str">
        <f t="shared" si="45"/>
        <v/>
      </c>
      <c r="D526" s="31"/>
      <c r="E526" s="31"/>
      <c r="F526" s="32"/>
      <c r="G526" s="33" t="str">
        <f t="shared" si="48"/>
        <v/>
      </c>
      <c r="H526" s="32" t="str">
        <f t="shared" si="46"/>
        <v/>
      </c>
      <c r="I526" s="44"/>
      <c r="J526" s="31" t="str">
        <f t="shared" si="47"/>
        <v/>
      </c>
      <c r="L526" s="35"/>
      <c r="O526" s="2"/>
      <c r="P526" s="2"/>
      <c r="Q526" s="2"/>
      <c r="R526" s="2"/>
    </row>
    <row r="527" spans="1:18" s="34" customFormat="1" x14ac:dyDescent="0.2">
      <c r="A527" s="28"/>
      <c r="B527" s="29"/>
      <c r="C527" s="30" t="str">
        <f t="shared" si="45"/>
        <v/>
      </c>
      <c r="D527" s="31"/>
      <c r="E527" s="31"/>
      <c r="F527" s="32"/>
      <c r="G527" s="33" t="str">
        <f t="shared" si="48"/>
        <v/>
      </c>
      <c r="H527" s="32" t="str">
        <f t="shared" si="46"/>
        <v/>
      </c>
      <c r="I527" s="44"/>
      <c r="J527" s="31" t="str">
        <f t="shared" si="47"/>
        <v/>
      </c>
      <c r="L527" s="35"/>
      <c r="O527" s="2"/>
      <c r="P527" s="2"/>
      <c r="Q527" s="2"/>
      <c r="R527" s="2"/>
    </row>
    <row r="528" spans="1:18" s="34" customFormat="1" x14ac:dyDescent="0.2">
      <c r="A528" s="28"/>
      <c r="B528" s="29"/>
      <c r="C528" s="30" t="str">
        <f t="shared" si="45"/>
        <v/>
      </c>
      <c r="D528" s="31"/>
      <c r="E528" s="31"/>
      <c r="F528" s="32"/>
      <c r="G528" s="33" t="str">
        <f t="shared" si="48"/>
        <v/>
      </c>
      <c r="H528" s="32" t="str">
        <f t="shared" si="46"/>
        <v/>
      </c>
      <c r="I528" s="44"/>
      <c r="J528" s="31" t="str">
        <f t="shared" si="47"/>
        <v/>
      </c>
      <c r="L528" s="35"/>
      <c r="O528" s="2"/>
      <c r="P528" s="2"/>
      <c r="Q528" s="2"/>
      <c r="R528" s="2"/>
    </row>
    <row r="529" spans="1:18" s="34" customFormat="1" x14ac:dyDescent="0.2">
      <c r="A529" s="28"/>
      <c r="B529" s="29"/>
      <c r="C529" s="30" t="str">
        <f t="shared" si="45"/>
        <v/>
      </c>
      <c r="D529" s="31"/>
      <c r="E529" s="31"/>
      <c r="F529" s="32"/>
      <c r="G529" s="33" t="str">
        <f t="shared" si="48"/>
        <v/>
      </c>
      <c r="H529" s="32" t="str">
        <f t="shared" si="46"/>
        <v/>
      </c>
      <c r="I529" s="44"/>
      <c r="J529" s="31" t="str">
        <f t="shared" si="47"/>
        <v/>
      </c>
      <c r="L529" s="35"/>
      <c r="O529" s="2"/>
      <c r="P529" s="2"/>
      <c r="Q529" s="2"/>
      <c r="R529" s="2"/>
    </row>
    <row r="530" spans="1:18" s="34" customFormat="1" x14ac:dyDescent="0.2">
      <c r="A530" s="28"/>
      <c r="B530" s="29"/>
      <c r="C530" s="30" t="str">
        <f t="shared" si="45"/>
        <v/>
      </c>
      <c r="D530" s="31"/>
      <c r="E530" s="31"/>
      <c r="F530" s="32"/>
      <c r="G530" s="33" t="str">
        <f t="shared" si="48"/>
        <v/>
      </c>
      <c r="H530" s="32" t="str">
        <f t="shared" si="46"/>
        <v/>
      </c>
      <c r="I530" s="44"/>
      <c r="J530" s="31" t="str">
        <f t="shared" si="47"/>
        <v/>
      </c>
      <c r="L530" s="35"/>
      <c r="O530" s="2"/>
      <c r="P530" s="2"/>
      <c r="Q530" s="2"/>
      <c r="R530" s="2"/>
    </row>
    <row r="531" spans="1:18" s="34" customFormat="1" x14ac:dyDescent="0.2">
      <c r="A531" s="28"/>
      <c r="B531" s="29"/>
      <c r="C531" s="30" t="str">
        <f t="shared" si="45"/>
        <v/>
      </c>
      <c r="D531" s="31"/>
      <c r="E531" s="31"/>
      <c r="F531" s="32"/>
      <c r="G531" s="33" t="str">
        <f t="shared" si="48"/>
        <v/>
      </c>
      <c r="H531" s="32" t="str">
        <f t="shared" si="46"/>
        <v/>
      </c>
      <c r="I531" s="44"/>
      <c r="J531" s="31" t="str">
        <f t="shared" si="47"/>
        <v/>
      </c>
      <c r="L531" s="35"/>
      <c r="O531" s="2"/>
      <c r="P531" s="2"/>
      <c r="Q531" s="2"/>
      <c r="R531" s="2"/>
    </row>
    <row r="532" spans="1:18" s="34" customFormat="1" x14ac:dyDescent="0.2">
      <c r="A532" s="28"/>
      <c r="B532" s="29"/>
      <c r="C532" s="30" t="str">
        <f t="shared" si="45"/>
        <v/>
      </c>
      <c r="D532" s="31"/>
      <c r="E532" s="31"/>
      <c r="F532" s="32"/>
      <c r="G532" s="33" t="str">
        <f t="shared" si="48"/>
        <v/>
      </c>
      <c r="H532" s="32" t="str">
        <f t="shared" si="46"/>
        <v/>
      </c>
      <c r="I532" s="44"/>
      <c r="J532" s="31" t="str">
        <f t="shared" si="47"/>
        <v/>
      </c>
      <c r="L532" s="35"/>
      <c r="O532" s="2"/>
      <c r="P532" s="2"/>
      <c r="Q532" s="2"/>
      <c r="R532" s="2"/>
    </row>
    <row r="533" spans="1:18" s="34" customFormat="1" x14ac:dyDescent="0.2">
      <c r="A533" s="28"/>
      <c r="B533" s="29"/>
      <c r="C533" s="30" t="str">
        <f t="shared" si="45"/>
        <v/>
      </c>
      <c r="D533" s="31"/>
      <c r="E533" s="31"/>
      <c r="F533" s="32"/>
      <c r="G533" s="33" t="str">
        <f t="shared" si="48"/>
        <v/>
      </c>
      <c r="H533" s="32" t="str">
        <f t="shared" si="46"/>
        <v/>
      </c>
      <c r="I533" s="44"/>
      <c r="J533" s="31" t="str">
        <f t="shared" si="47"/>
        <v/>
      </c>
      <c r="L533" s="35"/>
      <c r="O533" s="2"/>
      <c r="P533" s="2"/>
      <c r="Q533" s="2"/>
      <c r="R533" s="2"/>
    </row>
    <row r="534" spans="1:18" s="34" customFormat="1" x14ac:dyDescent="0.2">
      <c r="A534" s="28"/>
      <c r="B534" s="29"/>
      <c r="C534" s="30" t="str">
        <f t="shared" si="45"/>
        <v/>
      </c>
      <c r="D534" s="31"/>
      <c r="E534" s="31"/>
      <c r="F534" s="32"/>
      <c r="G534" s="33" t="str">
        <f t="shared" si="48"/>
        <v/>
      </c>
      <c r="H534" s="32" t="str">
        <f t="shared" si="46"/>
        <v/>
      </c>
      <c r="I534" s="44"/>
      <c r="J534" s="31" t="str">
        <f t="shared" si="47"/>
        <v/>
      </c>
      <c r="L534" s="35"/>
      <c r="O534" s="2"/>
      <c r="P534" s="2"/>
      <c r="Q534" s="2"/>
      <c r="R534" s="2"/>
    </row>
    <row r="535" spans="1:18" s="34" customFormat="1" x14ac:dyDescent="0.2">
      <c r="A535" s="28"/>
      <c r="B535" s="29"/>
      <c r="C535" s="30" t="str">
        <f t="shared" si="45"/>
        <v/>
      </c>
      <c r="D535" s="31"/>
      <c r="E535" s="31"/>
      <c r="F535" s="32"/>
      <c r="G535" s="33" t="str">
        <f t="shared" si="48"/>
        <v/>
      </c>
      <c r="H535" s="32" t="str">
        <f t="shared" si="46"/>
        <v/>
      </c>
      <c r="I535" s="44"/>
      <c r="J535" s="31" t="str">
        <f t="shared" si="47"/>
        <v/>
      </c>
      <c r="L535" s="35"/>
      <c r="O535" s="2"/>
      <c r="P535" s="2"/>
      <c r="Q535" s="2"/>
      <c r="R535" s="2"/>
    </row>
    <row r="536" spans="1:18" s="34" customFormat="1" x14ac:dyDescent="0.2">
      <c r="A536" s="28"/>
      <c r="B536" s="29"/>
      <c r="C536" s="30" t="str">
        <f t="shared" si="45"/>
        <v/>
      </c>
      <c r="D536" s="31"/>
      <c r="E536" s="31"/>
      <c r="F536" s="32"/>
      <c r="G536" s="33" t="str">
        <f t="shared" si="48"/>
        <v/>
      </c>
      <c r="H536" s="32" t="str">
        <f t="shared" si="46"/>
        <v/>
      </c>
      <c r="I536" s="44"/>
      <c r="J536" s="31" t="str">
        <f t="shared" si="47"/>
        <v/>
      </c>
      <c r="L536" s="35"/>
      <c r="O536" s="2"/>
      <c r="P536" s="2"/>
      <c r="Q536" s="2"/>
      <c r="R536" s="2"/>
    </row>
    <row r="537" spans="1:18" s="34" customFormat="1" x14ac:dyDescent="0.2">
      <c r="A537" s="28"/>
      <c r="B537" s="29"/>
      <c r="C537" s="30" t="str">
        <f t="shared" si="45"/>
        <v/>
      </c>
      <c r="D537" s="31"/>
      <c r="E537" s="31"/>
      <c r="F537" s="32"/>
      <c r="G537" s="33" t="str">
        <f t="shared" si="48"/>
        <v/>
      </c>
      <c r="H537" s="32" t="str">
        <f t="shared" si="46"/>
        <v/>
      </c>
      <c r="I537" s="44"/>
      <c r="J537" s="31" t="str">
        <f t="shared" si="47"/>
        <v/>
      </c>
      <c r="L537" s="35"/>
      <c r="O537" s="2"/>
      <c r="P537" s="2"/>
      <c r="Q537" s="2"/>
      <c r="R537" s="2"/>
    </row>
    <row r="538" spans="1:18" s="34" customFormat="1" x14ac:dyDescent="0.2">
      <c r="A538" s="28"/>
      <c r="B538" s="29"/>
      <c r="C538" s="30" t="str">
        <f t="shared" si="45"/>
        <v/>
      </c>
      <c r="D538" s="31"/>
      <c r="E538" s="31"/>
      <c r="F538" s="32"/>
      <c r="G538" s="33" t="str">
        <f t="shared" si="48"/>
        <v/>
      </c>
      <c r="H538" s="32" t="str">
        <f t="shared" si="46"/>
        <v/>
      </c>
      <c r="I538" s="44"/>
      <c r="J538" s="31" t="str">
        <f t="shared" si="47"/>
        <v/>
      </c>
      <c r="L538" s="35"/>
      <c r="O538" s="2"/>
      <c r="P538" s="2"/>
      <c r="Q538" s="2"/>
      <c r="R538" s="2"/>
    </row>
    <row r="539" spans="1:18" s="34" customFormat="1" x14ac:dyDescent="0.2">
      <c r="A539" s="28"/>
      <c r="B539" s="29"/>
      <c r="C539" s="30" t="str">
        <f t="shared" si="45"/>
        <v/>
      </c>
      <c r="D539" s="31"/>
      <c r="E539" s="31"/>
      <c r="F539" s="32"/>
      <c r="G539" s="33" t="str">
        <f t="shared" si="48"/>
        <v/>
      </c>
      <c r="H539" s="32" t="str">
        <f t="shared" si="46"/>
        <v/>
      </c>
      <c r="I539" s="44"/>
      <c r="J539" s="31" t="str">
        <f t="shared" si="47"/>
        <v/>
      </c>
      <c r="L539" s="35"/>
      <c r="O539" s="2"/>
      <c r="P539" s="2"/>
      <c r="Q539" s="2"/>
      <c r="R539" s="2"/>
    </row>
    <row r="540" spans="1:18" s="34" customFormat="1" x14ac:dyDescent="0.2">
      <c r="A540" s="28"/>
      <c r="B540" s="29"/>
      <c r="C540" s="30" t="str">
        <f t="shared" si="45"/>
        <v/>
      </c>
      <c r="D540" s="31"/>
      <c r="E540" s="31"/>
      <c r="F540" s="32"/>
      <c r="G540" s="33" t="str">
        <f t="shared" si="48"/>
        <v/>
      </c>
      <c r="H540" s="32" t="str">
        <f t="shared" si="46"/>
        <v/>
      </c>
      <c r="I540" s="44"/>
      <c r="J540" s="31" t="str">
        <f t="shared" si="47"/>
        <v/>
      </c>
      <c r="L540" s="35"/>
      <c r="O540" s="2"/>
      <c r="P540" s="2"/>
      <c r="Q540" s="2"/>
      <c r="R540" s="2"/>
    </row>
    <row r="541" spans="1:18" s="34" customFormat="1" x14ac:dyDescent="0.2">
      <c r="A541" s="28"/>
      <c r="B541" s="29"/>
      <c r="C541" s="30" t="str">
        <f t="shared" si="45"/>
        <v/>
      </c>
      <c r="D541" s="31"/>
      <c r="E541" s="31"/>
      <c r="F541" s="32"/>
      <c r="G541" s="33" t="str">
        <f t="shared" si="48"/>
        <v/>
      </c>
      <c r="H541" s="32" t="str">
        <f t="shared" si="46"/>
        <v/>
      </c>
      <c r="I541" s="44"/>
      <c r="J541" s="31" t="str">
        <f t="shared" si="47"/>
        <v/>
      </c>
      <c r="L541" s="35"/>
      <c r="O541" s="2"/>
      <c r="P541" s="2"/>
      <c r="Q541" s="2"/>
      <c r="R541" s="2"/>
    </row>
    <row r="542" spans="1:18" s="34" customFormat="1" x14ac:dyDescent="0.2">
      <c r="A542" s="28"/>
      <c r="B542" s="29"/>
      <c r="C542" s="30" t="str">
        <f t="shared" si="45"/>
        <v/>
      </c>
      <c r="D542" s="31"/>
      <c r="E542" s="31"/>
      <c r="F542" s="32"/>
      <c r="G542" s="33" t="str">
        <f t="shared" si="48"/>
        <v/>
      </c>
      <c r="H542" s="32" t="str">
        <f t="shared" si="46"/>
        <v/>
      </c>
      <c r="I542" s="44"/>
      <c r="J542" s="31" t="str">
        <f t="shared" si="47"/>
        <v/>
      </c>
      <c r="L542" s="35"/>
      <c r="O542" s="2"/>
      <c r="P542" s="2"/>
      <c r="Q542" s="2"/>
      <c r="R542" s="2"/>
    </row>
    <row r="543" spans="1:18" s="34" customFormat="1" x14ac:dyDescent="0.2">
      <c r="A543" s="28"/>
      <c r="B543" s="29"/>
      <c r="C543" s="30" t="str">
        <f t="shared" si="45"/>
        <v/>
      </c>
      <c r="D543" s="31"/>
      <c r="E543" s="31"/>
      <c r="F543" s="32"/>
      <c r="G543" s="33" t="str">
        <f t="shared" si="48"/>
        <v/>
      </c>
      <c r="H543" s="32" t="str">
        <f t="shared" si="46"/>
        <v/>
      </c>
      <c r="I543" s="44"/>
      <c r="J543" s="31" t="str">
        <f t="shared" si="47"/>
        <v/>
      </c>
      <c r="L543" s="35"/>
      <c r="O543" s="2"/>
      <c r="P543" s="2"/>
      <c r="Q543" s="2"/>
      <c r="R543" s="2"/>
    </row>
    <row r="544" spans="1:18" s="34" customFormat="1" x14ac:dyDescent="0.2">
      <c r="A544" s="28"/>
      <c r="B544" s="29"/>
      <c r="C544" s="30" t="str">
        <f t="shared" si="45"/>
        <v/>
      </c>
      <c r="D544" s="31"/>
      <c r="E544" s="31"/>
      <c r="F544" s="32"/>
      <c r="G544" s="33" t="str">
        <f t="shared" si="48"/>
        <v/>
      </c>
      <c r="H544" s="32" t="str">
        <f t="shared" si="46"/>
        <v/>
      </c>
      <c r="I544" s="44"/>
      <c r="J544" s="31" t="str">
        <f t="shared" si="47"/>
        <v/>
      </c>
      <c r="L544" s="35"/>
      <c r="O544" s="2"/>
      <c r="P544" s="2"/>
      <c r="Q544" s="2"/>
      <c r="R544" s="2"/>
    </row>
    <row r="545" spans="1:18" s="34" customFormat="1" x14ac:dyDescent="0.2">
      <c r="A545" s="28"/>
      <c r="B545" s="29"/>
      <c r="C545" s="30" t="str">
        <f t="shared" si="45"/>
        <v/>
      </c>
      <c r="D545" s="31"/>
      <c r="E545" s="31"/>
      <c r="F545" s="32"/>
      <c r="G545" s="33" t="str">
        <f t="shared" si="48"/>
        <v/>
      </c>
      <c r="H545" s="32" t="str">
        <f t="shared" si="46"/>
        <v/>
      </c>
      <c r="I545" s="44"/>
      <c r="J545" s="31" t="str">
        <f t="shared" si="47"/>
        <v/>
      </c>
      <c r="L545" s="35"/>
      <c r="O545" s="2"/>
      <c r="P545" s="2"/>
      <c r="Q545" s="2"/>
      <c r="R545" s="2"/>
    </row>
    <row r="546" spans="1:18" s="34" customFormat="1" x14ac:dyDescent="0.2">
      <c r="A546" s="28"/>
      <c r="B546" s="29"/>
      <c r="C546" s="30" t="str">
        <f t="shared" si="45"/>
        <v/>
      </c>
      <c r="D546" s="31"/>
      <c r="E546" s="31"/>
      <c r="F546" s="32"/>
      <c r="G546" s="33" t="str">
        <f t="shared" si="48"/>
        <v/>
      </c>
      <c r="H546" s="32" t="str">
        <f t="shared" si="46"/>
        <v/>
      </c>
      <c r="I546" s="44"/>
      <c r="J546" s="31" t="str">
        <f t="shared" si="47"/>
        <v/>
      </c>
      <c r="L546" s="35"/>
      <c r="O546" s="2"/>
      <c r="P546" s="2"/>
      <c r="Q546" s="2"/>
      <c r="R546" s="2"/>
    </row>
    <row r="547" spans="1:18" s="34" customFormat="1" x14ac:dyDescent="0.2">
      <c r="A547" s="28"/>
      <c r="B547" s="29"/>
      <c r="C547" s="30" t="str">
        <f t="shared" si="45"/>
        <v/>
      </c>
      <c r="D547" s="31"/>
      <c r="E547" s="31"/>
      <c r="F547" s="32"/>
      <c r="G547" s="33" t="str">
        <f t="shared" si="48"/>
        <v/>
      </c>
      <c r="H547" s="32" t="str">
        <f t="shared" si="46"/>
        <v/>
      </c>
      <c r="I547" s="44"/>
      <c r="J547" s="31" t="str">
        <f t="shared" si="47"/>
        <v/>
      </c>
      <c r="L547" s="35"/>
      <c r="O547" s="2"/>
      <c r="P547" s="2"/>
      <c r="Q547" s="2"/>
      <c r="R547" s="2"/>
    </row>
    <row r="548" spans="1:18" s="34" customFormat="1" x14ac:dyDescent="0.2">
      <c r="A548" s="28"/>
      <c r="B548" s="29"/>
      <c r="C548" s="30" t="str">
        <f t="shared" si="45"/>
        <v/>
      </c>
      <c r="D548" s="31"/>
      <c r="E548" s="31"/>
      <c r="F548" s="32"/>
      <c r="G548" s="33" t="str">
        <f t="shared" si="48"/>
        <v/>
      </c>
      <c r="H548" s="32" t="str">
        <f t="shared" si="46"/>
        <v/>
      </c>
      <c r="I548" s="44"/>
      <c r="J548" s="31" t="str">
        <f t="shared" si="47"/>
        <v/>
      </c>
      <c r="L548" s="35"/>
      <c r="O548" s="2"/>
      <c r="P548" s="2"/>
      <c r="Q548" s="2"/>
      <c r="R548" s="2"/>
    </row>
    <row r="549" spans="1:18" s="34" customFormat="1" x14ac:dyDescent="0.2">
      <c r="A549" s="28"/>
      <c r="B549" s="29"/>
      <c r="C549" s="30" t="str">
        <f t="shared" si="45"/>
        <v/>
      </c>
      <c r="D549" s="31"/>
      <c r="E549" s="31"/>
      <c r="F549" s="32"/>
      <c r="G549" s="33" t="str">
        <f t="shared" si="48"/>
        <v/>
      </c>
      <c r="H549" s="32" t="str">
        <f t="shared" si="46"/>
        <v/>
      </c>
      <c r="I549" s="44"/>
      <c r="J549" s="31" t="str">
        <f t="shared" si="47"/>
        <v/>
      </c>
      <c r="L549" s="35"/>
      <c r="O549" s="2"/>
      <c r="P549" s="2"/>
      <c r="Q549" s="2"/>
      <c r="R549" s="2"/>
    </row>
    <row r="550" spans="1:18" s="34" customFormat="1" x14ac:dyDescent="0.2">
      <c r="A550" s="28"/>
      <c r="B550" s="29"/>
      <c r="C550" s="30" t="str">
        <f t="shared" si="45"/>
        <v/>
      </c>
      <c r="D550" s="31"/>
      <c r="E550" s="31"/>
      <c r="F550" s="32"/>
      <c r="G550" s="33" t="str">
        <f t="shared" si="48"/>
        <v/>
      </c>
      <c r="H550" s="32" t="str">
        <f t="shared" si="46"/>
        <v/>
      </c>
      <c r="I550" s="44"/>
      <c r="J550" s="31" t="str">
        <f t="shared" si="47"/>
        <v/>
      </c>
      <c r="L550" s="35"/>
      <c r="O550" s="2"/>
      <c r="P550" s="2"/>
      <c r="Q550" s="2"/>
      <c r="R550" s="2"/>
    </row>
    <row r="551" spans="1:18" s="34" customFormat="1" x14ac:dyDescent="0.2">
      <c r="A551" s="28"/>
      <c r="B551" s="29"/>
      <c r="C551" s="30" t="str">
        <f t="shared" si="45"/>
        <v/>
      </c>
      <c r="D551" s="31"/>
      <c r="E551" s="31"/>
      <c r="F551" s="32"/>
      <c r="G551" s="33" t="str">
        <f t="shared" si="48"/>
        <v/>
      </c>
      <c r="H551" s="32" t="str">
        <f t="shared" si="46"/>
        <v/>
      </c>
      <c r="I551" s="44"/>
      <c r="J551" s="31" t="str">
        <f t="shared" si="47"/>
        <v/>
      </c>
      <c r="L551" s="35"/>
      <c r="O551" s="2"/>
      <c r="P551" s="2"/>
      <c r="Q551" s="2"/>
      <c r="R551" s="2"/>
    </row>
    <row r="552" spans="1:18" s="34" customFormat="1" x14ac:dyDescent="0.2">
      <c r="A552" s="28"/>
      <c r="B552" s="29"/>
      <c r="C552" s="30" t="str">
        <f t="shared" si="45"/>
        <v/>
      </c>
      <c r="D552" s="31"/>
      <c r="E552" s="31"/>
      <c r="F552" s="32"/>
      <c r="G552" s="33" t="str">
        <f t="shared" si="48"/>
        <v/>
      </c>
      <c r="H552" s="32" t="str">
        <f t="shared" si="46"/>
        <v/>
      </c>
      <c r="I552" s="44"/>
      <c r="J552" s="31" t="str">
        <f t="shared" si="47"/>
        <v/>
      </c>
      <c r="L552" s="35"/>
      <c r="O552" s="2"/>
      <c r="P552" s="2"/>
      <c r="Q552" s="2"/>
      <c r="R552" s="2"/>
    </row>
    <row r="553" spans="1:18" s="34" customFormat="1" x14ac:dyDescent="0.2">
      <c r="A553" s="28"/>
      <c r="B553" s="29"/>
      <c r="C553" s="30" t="str">
        <f t="shared" si="45"/>
        <v/>
      </c>
      <c r="D553" s="31"/>
      <c r="E553" s="31"/>
      <c r="F553" s="32"/>
      <c r="G553" s="33" t="str">
        <f t="shared" si="48"/>
        <v/>
      </c>
      <c r="H553" s="32" t="str">
        <f t="shared" si="46"/>
        <v/>
      </c>
      <c r="I553" s="44"/>
      <c r="J553" s="31" t="str">
        <f t="shared" si="47"/>
        <v/>
      </c>
      <c r="L553" s="35"/>
      <c r="O553" s="2"/>
      <c r="P553" s="2"/>
      <c r="Q553" s="2"/>
      <c r="R553" s="2"/>
    </row>
    <row r="554" spans="1:18" s="34" customFormat="1" x14ac:dyDescent="0.2">
      <c r="A554" s="28"/>
      <c r="B554" s="29"/>
      <c r="C554" s="30" t="str">
        <f t="shared" si="45"/>
        <v/>
      </c>
      <c r="D554" s="31"/>
      <c r="E554" s="31"/>
      <c r="F554" s="32"/>
      <c r="G554" s="33" t="str">
        <f t="shared" si="48"/>
        <v/>
      </c>
      <c r="H554" s="32" t="str">
        <f t="shared" si="46"/>
        <v/>
      </c>
      <c r="I554" s="44"/>
      <c r="J554" s="31" t="str">
        <f t="shared" si="47"/>
        <v/>
      </c>
      <c r="L554" s="35"/>
      <c r="O554" s="2"/>
      <c r="P554" s="2"/>
      <c r="Q554" s="2"/>
      <c r="R554" s="2"/>
    </row>
    <row r="555" spans="1:18" s="34" customFormat="1" x14ac:dyDescent="0.2">
      <c r="A555" s="28"/>
      <c r="B555" s="29"/>
      <c r="C555" s="30" t="str">
        <f t="shared" si="45"/>
        <v/>
      </c>
      <c r="D555" s="31"/>
      <c r="E555" s="31"/>
      <c r="F555" s="32"/>
      <c r="G555" s="33" t="str">
        <f t="shared" si="48"/>
        <v/>
      </c>
      <c r="H555" s="32" t="str">
        <f t="shared" si="46"/>
        <v/>
      </c>
      <c r="I555" s="44"/>
      <c r="J555" s="31" t="str">
        <f t="shared" si="47"/>
        <v/>
      </c>
      <c r="L555" s="35"/>
      <c r="O555" s="2"/>
      <c r="P555" s="2"/>
      <c r="Q555" s="2"/>
      <c r="R555" s="2"/>
    </row>
    <row r="556" spans="1:18" s="34" customFormat="1" x14ac:dyDescent="0.2">
      <c r="A556" s="28"/>
      <c r="B556" s="29"/>
      <c r="C556" s="30" t="str">
        <f t="shared" si="45"/>
        <v/>
      </c>
      <c r="D556" s="31"/>
      <c r="E556" s="31"/>
      <c r="F556" s="32"/>
      <c r="G556" s="33" t="str">
        <f t="shared" si="48"/>
        <v/>
      </c>
      <c r="H556" s="32" t="str">
        <f t="shared" si="46"/>
        <v/>
      </c>
      <c r="I556" s="44"/>
      <c r="J556" s="31" t="str">
        <f t="shared" si="47"/>
        <v/>
      </c>
      <c r="L556" s="35"/>
      <c r="O556" s="2"/>
      <c r="P556" s="2"/>
      <c r="Q556" s="2"/>
      <c r="R556" s="2"/>
    </row>
    <row r="557" spans="1:18" s="34" customFormat="1" x14ac:dyDescent="0.2">
      <c r="A557" s="28"/>
      <c r="B557" s="29"/>
      <c r="C557" s="30" t="str">
        <f t="shared" si="45"/>
        <v/>
      </c>
      <c r="D557" s="31"/>
      <c r="E557" s="31"/>
      <c r="F557" s="32"/>
      <c r="G557" s="33" t="str">
        <f t="shared" si="48"/>
        <v/>
      </c>
      <c r="H557" s="32" t="str">
        <f t="shared" si="46"/>
        <v/>
      </c>
      <c r="I557" s="44"/>
      <c r="J557" s="31" t="str">
        <f t="shared" si="47"/>
        <v/>
      </c>
      <c r="L557" s="35"/>
      <c r="O557" s="2"/>
      <c r="P557" s="2"/>
      <c r="Q557" s="2"/>
      <c r="R557" s="2"/>
    </row>
    <row r="558" spans="1:18" s="34" customFormat="1" x14ac:dyDescent="0.2">
      <c r="A558" s="28"/>
      <c r="B558" s="29"/>
      <c r="C558" s="30" t="str">
        <f t="shared" si="45"/>
        <v/>
      </c>
      <c r="D558" s="31"/>
      <c r="E558" s="31"/>
      <c r="F558" s="32"/>
      <c r="G558" s="33" t="str">
        <f t="shared" si="48"/>
        <v/>
      </c>
      <c r="H558" s="32" t="str">
        <f t="shared" si="46"/>
        <v/>
      </c>
      <c r="I558" s="44"/>
      <c r="J558" s="31" t="str">
        <f t="shared" si="47"/>
        <v/>
      </c>
      <c r="L558" s="35"/>
      <c r="O558" s="2"/>
      <c r="P558" s="2"/>
      <c r="Q558" s="2"/>
      <c r="R558" s="2"/>
    </row>
    <row r="559" spans="1:18" s="34" customFormat="1" x14ac:dyDescent="0.2">
      <c r="A559" s="28"/>
      <c r="B559" s="29"/>
      <c r="C559" s="30" t="str">
        <f t="shared" si="45"/>
        <v/>
      </c>
      <c r="D559" s="31"/>
      <c r="E559" s="31"/>
      <c r="F559" s="32"/>
      <c r="G559" s="33" t="str">
        <f t="shared" si="48"/>
        <v/>
      </c>
      <c r="H559" s="32" t="str">
        <f t="shared" si="46"/>
        <v/>
      </c>
      <c r="I559" s="44"/>
      <c r="J559" s="31" t="str">
        <f t="shared" si="47"/>
        <v/>
      </c>
      <c r="L559" s="35"/>
      <c r="O559" s="2"/>
      <c r="P559" s="2"/>
      <c r="Q559" s="2"/>
      <c r="R559" s="2"/>
    </row>
    <row r="560" spans="1:18" s="34" customFormat="1" x14ac:dyDescent="0.2">
      <c r="A560" s="28"/>
      <c r="B560" s="29"/>
      <c r="C560" s="30" t="str">
        <f t="shared" si="45"/>
        <v/>
      </c>
      <c r="D560" s="31"/>
      <c r="E560" s="31"/>
      <c r="F560" s="32"/>
      <c r="G560" s="33" t="str">
        <f t="shared" si="48"/>
        <v/>
      </c>
      <c r="H560" s="32" t="str">
        <f t="shared" si="46"/>
        <v/>
      </c>
      <c r="I560" s="44"/>
      <c r="J560" s="31" t="str">
        <f t="shared" si="47"/>
        <v/>
      </c>
      <c r="L560" s="35"/>
      <c r="O560" s="2"/>
      <c r="P560" s="2"/>
      <c r="Q560" s="2"/>
      <c r="R560" s="2"/>
    </row>
    <row r="561" spans="1:18" s="34" customFormat="1" x14ac:dyDescent="0.2">
      <c r="A561" s="28"/>
      <c r="B561" s="29"/>
      <c r="C561" s="30" t="str">
        <f t="shared" si="45"/>
        <v/>
      </c>
      <c r="D561" s="31"/>
      <c r="E561" s="31"/>
      <c r="F561" s="32"/>
      <c r="G561" s="33" t="str">
        <f t="shared" si="48"/>
        <v/>
      </c>
      <c r="H561" s="32" t="str">
        <f t="shared" si="46"/>
        <v/>
      </c>
      <c r="I561" s="44"/>
      <c r="J561" s="31" t="str">
        <f t="shared" si="47"/>
        <v/>
      </c>
      <c r="L561" s="35"/>
      <c r="O561" s="2"/>
      <c r="P561" s="2"/>
      <c r="Q561" s="2"/>
      <c r="R561" s="2"/>
    </row>
    <row r="562" spans="1:18" s="34" customFormat="1" x14ac:dyDescent="0.2">
      <c r="A562" s="28"/>
      <c r="B562" s="29"/>
      <c r="C562" s="30" t="str">
        <f t="shared" si="45"/>
        <v/>
      </c>
      <c r="D562" s="31"/>
      <c r="E562" s="31"/>
      <c r="F562" s="32"/>
      <c r="G562" s="33" t="str">
        <f t="shared" si="48"/>
        <v/>
      </c>
      <c r="H562" s="32" t="str">
        <f t="shared" si="46"/>
        <v/>
      </c>
      <c r="I562" s="44"/>
      <c r="J562" s="31" t="str">
        <f t="shared" si="47"/>
        <v/>
      </c>
      <c r="L562" s="35"/>
      <c r="O562" s="2"/>
      <c r="P562" s="2"/>
      <c r="Q562" s="2"/>
      <c r="R562" s="2"/>
    </row>
    <row r="563" spans="1:18" s="34" customFormat="1" x14ac:dyDescent="0.2">
      <c r="A563" s="28"/>
      <c r="B563" s="29"/>
      <c r="C563" s="30" t="str">
        <f t="shared" si="45"/>
        <v/>
      </c>
      <c r="D563" s="31"/>
      <c r="E563" s="31"/>
      <c r="F563" s="32"/>
      <c r="G563" s="33" t="str">
        <f t="shared" si="48"/>
        <v/>
      </c>
      <c r="H563" s="32" t="str">
        <f t="shared" si="46"/>
        <v/>
      </c>
      <c r="I563" s="44"/>
      <c r="J563" s="31" t="str">
        <f t="shared" si="47"/>
        <v/>
      </c>
      <c r="L563" s="35"/>
      <c r="O563" s="2"/>
      <c r="P563" s="2"/>
      <c r="Q563" s="2"/>
      <c r="R563" s="2"/>
    </row>
    <row r="564" spans="1:18" s="34" customFormat="1" x14ac:dyDescent="0.2">
      <c r="A564" s="28"/>
      <c r="B564" s="29"/>
      <c r="C564" s="30" t="str">
        <f t="shared" ref="C564:C583" si="49">IF(B564="","",TEXT(DAY(B564),"00")&amp;"/"&amp;TEXT(MONTH(B564),"00"))</f>
        <v/>
      </c>
      <c r="D564" s="31"/>
      <c r="E564" s="31"/>
      <c r="F564" s="32"/>
      <c r="G564" s="33" t="str">
        <f t="shared" si="48"/>
        <v/>
      </c>
      <c r="H564" s="32" t="str">
        <f t="shared" si="46"/>
        <v/>
      </c>
      <c r="I564" s="44"/>
      <c r="J564" s="31" t="str">
        <f t="shared" si="47"/>
        <v/>
      </c>
      <c r="L564" s="35"/>
      <c r="O564" s="2"/>
      <c r="P564" s="2"/>
      <c r="Q564" s="2"/>
      <c r="R564" s="2"/>
    </row>
    <row r="565" spans="1:18" s="34" customFormat="1" x14ac:dyDescent="0.2">
      <c r="A565" s="28"/>
      <c r="B565" s="29"/>
      <c r="C565" s="30" t="str">
        <f t="shared" si="49"/>
        <v/>
      </c>
      <c r="D565" s="31"/>
      <c r="E565" s="31"/>
      <c r="F565" s="32"/>
      <c r="G565" s="33" t="str">
        <f t="shared" si="48"/>
        <v/>
      </c>
      <c r="H565" s="32" t="str">
        <f t="shared" si="46"/>
        <v/>
      </c>
      <c r="I565" s="44"/>
      <c r="J565" s="31" t="str">
        <f t="shared" si="47"/>
        <v/>
      </c>
      <c r="L565" s="35"/>
      <c r="O565" s="2"/>
      <c r="P565" s="2"/>
      <c r="Q565" s="2"/>
      <c r="R565" s="2"/>
    </row>
    <row r="566" spans="1:18" s="34" customFormat="1" x14ac:dyDescent="0.2">
      <c r="A566" s="28"/>
      <c r="B566" s="29"/>
      <c r="C566" s="30" t="str">
        <f t="shared" si="49"/>
        <v/>
      </c>
      <c r="D566" s="31"/>
      <c r="E566" s="31"/>
      <c r="F566" s="32"/>
      <c r="G566" s="33" t="str">
        <f t="shared" si="48"/>
        <v/>
      </c>
      <c r="H566" s="32" t="str">
        <f t="shared" si="46"/>
        <v/>
      </c>
      <c r="I566" s="44"/>
      <c r="J566" s="31" t="str">
        <f t="shared" si="47"/>
        <v/>
      </c>
      <c r="L566" s="35"/>
      <c r="O566" s="2"/>
      <c r="P566" s="2"/>
      <c r="Q566" s="2"/>
      <c r="R566" s="2"/>
    </row>
    <row r="567" spans="1:18" s="34" customFormat="1" x14ac:dyDescent="0.2">
      <c r="A567" s="28"/>
      <c r="B567" s="29"/>
      <c r="C567" s="30" t="str">
        <f t="shared" si="49"/>
        <v/>
      </c>
      <c r="D567" s="31"/>
      <c r="E567" s="31"/>
      <c r="F567" s="32"/>
      <c r="G567" s="33" t="str">
        <f t="shared" si="48"/>
        <v/>
      </c>
      <c r="H567" s="32" t="str">
        <f t="shared" si="46"/>
        <v/>
      </c>
      <c r="I567" s="44"/>
      <c r="J567" s="31" t="str">
        <f t="shared" si="47"/>
        <v/>
      </c>
      <c r="L567" s="35"/>
      <c r="O567" s="2"/>
      <c r="P567" s="2"/>
      <c r="Q567" s="2"/>
      <c r="R567" s="2"/>
    </row>
    <row r="568" spans="1:18" s="34" customFormat="1" x14ac:dyDescent="0.2">
      <c r="A568" s="28"/>
      <c r="B568" s="29"/>
      <c r="C568" s="30" t="str">
        <f t="shared" si="49"/>
        <v/>
      </c>
      <c r="D568" s="31"/>
      <c r="E568" s="31"/>
      <c r="F568" s="32"/>
      <c r="G568" s="33" t="str">
        <f t="shared" si="48"/>
        <v/>
      </c>
      <c r="H568" s="32" t="str">
        <f t="shared" si="46"/>
        <v/>
      </c>
      <c r="I568" s="44"/>
      <c r="J568" s="31" t="str">
        <f t="shared" si="47"/>
        <v/>
      </c>
      <c r="L568" s="35"/>
      <c r="O568" s="2"/>
      <c r="P568" s="2"/>
      <c r="Q568" s="2"/>
      <c r="R568" s="2"/>
    </row>
    <row r="569" spans="1:18" s="34" customFormat="1" x14ac:dyDescent="0.2">
      <c r="A569" s="28"/>
      <c r="B569" s="29"/>
      <c r="C569" s="30" t="str">
        <f t="shared" si="49"/>
        <v/>
      </c>
      <c r="D569" s="31"/>
      <c r="E569" s="31"/>
      <c r="F569" s="32"/>
      <c r="G569" s="33" t="str">
        <f t="shared" si="48"/>
        <v/>
      </c>
      <c r="H569" s="32" t="str">
        <f t="shared" si="46"/>
        <v/>
      </c>
      <c r="I569" s="44"/>
      <c r="J569" s="31" t="str">
        <f t="shared" si="47"/>
        <v/>
      </c>
      <c r="L569" s="35"/>
      <c r="O569" s="2"/>
      <c r="P569" s="2"/>
      <c r="Q569" s="2"/>
      <c r="R569" s="2"/>
    </row>
    <row r="570" spans="1:18" s="34" customFormat="1" x14ac:dyDescent="0.2">
      <c r="A570" s="28"/>
      <c r="B570" s="29"/>
      <c r="C570" s="30" t="str">
        <f t="shared" si="49"/>
        <v/>
      </c>
      <c r="D570" s="31"/>
      <c r="E570" s="31"/>
      <c r="F570" s="32"/>
      <c r="G570" s="33" t="str">
        <f t="shared" si="48"/>
        <v/>
      </c>
      <c r="H570" s="32" t="str">
        <f t="shared" si="46"/>
        <v/>
      </c>
      <c r="I570" s="44"/>
      <c r="J570" s="31" t="str">
        <f t="shared" si="47"/>
        <v/>
      </c>
      <c r="L570" s="35"/>
      <c r="O570" s="2"/>
      <c r="P570" s="2"/>
      <c r="Q570" s="2"/>
      <c r="R570" s="2"/>
    </row>
    <row r="571" spans="1:18" s="34" customFormat="1" x14ac:dyDescent="0.2">
      <c r="A571" s="28"/>
      <c r="B571" s="29"/>
      <c r="C571" s="30" t="str">
        <f t="shared" si="49"/>
        <v/>
      </c>
      <c r="D571" s="31"/>
      <c r="E571" s="31"/>
      <c r="F571" s="32"/>
      <c r="G571" s="33" t="str">
        <f t="shared" si="48"/>
        <v/>
      </c>
      <c r="H571" s="32" t="str">
        <f t="shared" si="46"/>
        <v/>
      </c>
      <c r="I571" s="44"/>
      <c r="J571" s="31" t="str">
        <f t="shared" si="47"/>
        <v/>
      </c>
      <c r="L571" s="35"/>
      <c r="O571" s="2"/>
      <c r="P571" s="2"/>
      <c r="Q571" s="2"/>
      <c r="R571" s="2"/>
    </row>
    <row r="572" spans="1:18" s="34" customFormat="1" x14ac:dyDescent="0.2">
      <c r="A572" s="28"/>
      <c r="B572" s="29"/>
      <c r="C572" s="30" t="str">
        <f t="shared" si="49"/>
        <v/>
      </c>
      <c r="D572" s="31"/>
      <c r="E572" s="31"/>
      <c r="F572" s="32"/>
      <c r="G572" s="33" t="str">
        <f t="shared" si="48"/>
        <v/>
      </c>
      <c r="H572" s="32" t="str">
        <f t="shared" si="46"/>
        <v/>
      </c>
      <c r="I572" s="44"/>
      <c r="J572" s="31" t="str">
        <f t="shared" si="47"/>
        <v/>
      </c>
      <c r="L572" s="35"/>
      <c r="O572" s="2"/>
      <c r="P572" s="2"/>
      <c r="Q572" s="2"/>
      <c r="R572" s="2"/>
    </row>
    <row r="573" spans="1:18" s="34" customFormat="1" x14ac:dyDescent="0.2">
      <c r="A573" s="28"/>
      <c r="B573" s="29"/>
      <c r="C573" s="30" t="str">
        <f t="shared" si="49"/>
        <v/>
      </c>
      <c r="D573" s="31"/>
      <c r="E573" s="31"/>
      <c r="F573" s="32"/>
      <c r="G573" s="33" t="str">
        <f t="shared" si="48"/>
        <v/>
      </c>
      <c r="H573" s="32" t="str">
        <f t="shared" si="46"/>
        <v/>
      </c>
      <c r="I573" s="44"/>
      <c r="J573" s="31" t="str">
        <f t="shared" si="47"/>
        <v/>
      </c>
      <c r="L573" s="35"/>
      <c r="O573" s="2"/>
      <c r="P573" s="2"/>
      <c r="Q573" s="2"/>
      <c r="R573" s="2"/>
    </row>
    <row r="574" spans="1:18" s="34" customFormat="1" x14ac:dyDescent="0.2">
      <c r="A574" s="28"/>
      <c r="B574" s="29"/>
      <c r="C574" s="30" t="str">
        <f t="shared" si="49"/>
        <v/>
      </c>
      <c r="D574" s="31"/>
      <c r="E574" s="31"/>
      <c r="F574" s="32"/>
      <c r="G574" s="33" t="str">
        <f t="shared" si="48"/>
        <v/>
      </c>
      <c r="H574" s="32" t="str">
        <f t="shared" si="46"/>
        <v/>
      </c>
      <c r="I574" s="44"/>
      <c r="J574" s="31" t="str">
        <f t="shared" si="47"/>
        <v/>
      </c>
      <c r="L574" s="35"/>
      <c r="O574" s="2"/>
      <c r="P574" s="2"/>
      <c r="Q574" s="2"/>
      <c r="R574" s="2"/>
    </row>
    <row r="575" spans="1:18" s="34" customFormat="1" x14ac:dyDescent="0.2">
      <c r="A575" s="28"/>
      <c r="B575" s="29"/>
      <c r="C575" s="30" t="str">
        <f t="shared" si="49"/>
        <v/>
      </c>
      <c r="D575" s="31"/>
      <c r="E575" s="31"/>
      <c r="F575" s="32"/>
      <c r="G575" s="33" t="str">
        <f t="shared" si="48"/>
        <v/>
      </c>
      <c r="H575" s="32" t="str">
        <f t="shared" si="46"/>
        <v/>
      </c>
      <c r="I575" s="44"/>
      <c r="J575" s="31" t="str">
        <f t="shared" si="47"/>
        <v/>
      </c>
      <c r="L575" s="35"/>
      <c r="O575" s="2"/>
      <c r="P575" s="2"/>
      <c r="Q575" s="2"/>
      <c r="R575" s="2"/>
    </row>
    <row r="576" spans="1:18" s="34" customFormat="1" x14ac:dyDescent="0.2">
      <c r="A576" s="28"/>
      <c r="B576" s="29"/>
      <c r="C576" s="30" t="str">
        <f t="shared" si="49"/>
        <v/>
      </c>
      <c r="D576" s="31"/>
      <c r="E576" s="31"/>
      <c r="F576" s="32"/>
      <c r="G576" s="33" t="str">
        <f t="shared" si="48"/>
        <v/>
      </c>
      <c r="H576" s="32" t="str">
        <f t="shared" si="46"/>
        <v/>
      </c>
      <c r="I576" s="44"/>
      <c r="J576" s="31" t="str">
        <f t="shared" si="47"/>
        <v/>
      </c>
      <c r="L576" s="35"/>
      <c r="O576" s="2"/>
      <c r="P576" s="2"/>
      <c r="Q576" s="2"/>
      <c r="R576" s="2"/>
    </row>
    <row r="577" spans="1:18" s="34" customFormat="1" x14ac:dyDescent="0.2">
      <c r="A577" s="28"/>
      <c r="B577" s="29"/>
      <c r="C577" s="30" t="str">
        <f t="shared" si="49"/>
        <v/>
      </c>
      <c r="D577" s="31"/>
      <c r="E577" s="31"/>
      <c r="F577" s="32"/>
      <c r="G577" s="33" t="str">
        <f t="shared" si="48"/>
        <v/>
      </c>
      <c r="H577" s="32" t="str">
        <f t="shared" si="46"/>
        <v/>
      </c>
      <c r="I577" s="44"/>
      <c r="J577" s="31" t="str">
        <f t="shared" si="47"/>
        <v/>
      </c>
      <c r="L577" s="35"/>
      <c r="O577" s="2"/>
      <c r="P577" s="2"/>
      <c r="Q577" s="2"/>
      <c r="R577" s="2"/>
    </row>
    <row r="578" spans="1:18" s="34" customFormat="1" x14ac:dyDescent="0.2">
      <c r="A578" s="28"/>
      <c r="B578" s="29"/>
      <c r="C578" s="30" t="str">
        <f t="shared" si="49"/>
        <v/>
      </c>
      <c r="D578" s="31"/>
      <c r="E578" s="31"/>
      <c r="F578" s="32"/>
      <c r="G578" s="33" t="str">
        <f t="shared" si="48"/>
        <v/>
      </c>
      <c r="H578" s="32" t="str">
        <f t="shared" si="46"/>
        <v/>
      </c>
      <c r="I578" s="44"/>
      <c r="J578" s="31" t="str">
        <f t="shared" si="47"/>
        <v/>
      </c>
      <c r="L578" s="35"/>
      <c r="O578" s="2"/>
      <c r="P578" s="2"/>
      <c r="Q578" s="2"/>
      <c r="R578" s="2"/>
    </row>
    <row r="579" spans="1:18" s="34" customFormat="1" x14ac:dyDescent="0.2">
      <c r="A579" s="28"/>
      <c r="B579" s="29"/>
      <c r="C579" s="30" t="str">
        <f t="shared" si="49"/>
        <v/>
      </c>
      <c r="D579" s="31"/>
      <c r="E579" s="31"/>
      <c r="F579" s="32"/>
      <c r="G579" s="33" t="str">
        <f t="shared" si="48"/>
        <v/>
      </c>
      <c r="H579" s="32" t="str">
        <f t="shared" si="46"/>
        <v/>
      </c>
      <c r="I579" s="44"/>
      <c r="J579" s="31" t="str">
        <f t="shared" si="47"/>
        <v/>
      </c>
      <c r="L579" s="35"/>
      <c r="O579" s="2"/>
      <c r="P579" s="2"/>
      <c r="Q579" s="2"/>
      <c r="R579" s="2"/>
    </row>
    <row r="580" spans="1:18" s="34" customFormat="1" x14ac:dyDescent="0.2">
      <c r="A580" s="28"/>
      <c r="B580" s="29"/>
      <c r="C580" s="30" t="str">
        <f t="shared" si="49"/>
        <v/>
      </c>
      <c r="D580" s="31"/>
      <c r="E580" s="31"/>
      <c r="F580" s="32"/>
      <c r="G580" s="33" t="str">
        <f t="shared" si="48"/>
        <v/>
      </c>
      <c r="H580" s="32" t="str">
        <f t="shared" si="46"/>
        <v/>
      </c>
      <c r="I580" s="44"/>
      <c r="J580" s="31" t="str">
        <f t="shared" si="47"/>
        <v/>
      </c>
      <c r="L580" s="35"/>
      <c r="O580" s="2"/>
      <c r="P580" s="2"/>
      <c r="Q580" s="2"/>
      <c r="R580" s="2"/>
    </row>
    <row r="581" spans="1:18" s="34" customFormat="1" x14ac:dyDescent="0.2">
      <c r="A581" s="28"/>
      <c r="B581" s="29"/>
      <c r="C581" s="30" t="str">
        <f t="shared" si="49"/>
        <v/>
      </c>
      <c r="D581" s="31"/>
      <c r="E581" s="31"/>
      <c r="F581" s="32"/>
      <c r="G581" s="33" t="str">
        <f t="shared" si="48"/>
        <v/>
      </c>
      <c r="H581" s="32" t="str">
        <f t="shared" si="46"/>
        <v/>
      </c>
      <c r="I581" s="44"/>
      <c r="J581" s="31" t="str">
        <f t="shared" si="47"/>
        <v/>
      </c>
      <c r="L581" s="35"/>
      <c r="O581" s="2"/>
      <c r="P581" s="2"/>
      <c r="Q581" s="2"/>
      <c r="R581" s="2"/>
    </row>
    <row r="582" spans="1:18" s="34" customFormat="1" x14ac:dyDescent="0.2">
      <c r="A582" s="28"/>
      <c r="B582" s="29"/>
      <c r="C582" s="30" t="str">
        <f t="shared" si="49"/>
        <v/>
      </c>
      <c r="D582" s="31"/>
      <c r="E582" s="31"/>
      <c r="F582" s="32"/>
      <c r="G582" s="33" t="str">
        <f t="shared" si="48"/>
        <v/>
      </c>
      <c r="H582" s="32" t="str">
        <f t="shared" si="46"/>
        <v/>
      </c>
      <c r="I582" s="44"/>
      <c r="J582" s="31" t="str">
        <f t="shared" si="47"/>
        <v/>
      </c>
      <c r="L582" s="35"/>
      <c r="O582" s="2"/>
      <c r="P582" s="2"/>
      <c r="Q582" s="2"/>
      <c r="R582" s="2"/>
    </row>
    <row r="583" spans="1:18" s="34" customFormat="1" x14ac:dyDescent="0.2">
      <c r="A583" s="28"/>
      <c r="B583" s="29"/>
      <c r="C583" s="30" t="str">
        <f t="shared" si="49"/>
        <v/>
      </c>
      <c r="D583" s="31"/>
      <c r="E583" s="31"/>
      <c r="F583" s="32"/>
      <c r="G583" s="33" t="str">
        <f t="shared" si="48"/>
        <v/>
      </c>
      <c r="H583" s="32" t="str">
        <f t="shared" ref="H583:H617" si="50">IF(F583&lt;&gt;"",ABS(F583),"")</f>
        <v/>
      </c>
      <c r="I583" s="44"/>
      <c r="J583" s="31" t="str">
        <f t="shared" ref="J583:J617" si="51">IF(F583=0,"",IF(F583&lt;0,"PAGAMENTO","RECEBIMENTO"))</f>
        <v/>
      </c>
      <c r="L583" s="35"/>
      <c r="O583" s="2"/>
      <c r="P583" s="2"/>
      <c r="Q583" s="2"/>
      <c r="R583" s="2"/>
    </row>
    <row r="584" spans="1:18" s="34" customFormat="1" x14ac:dyDescent="0.2">
      <c r="B584" s="29"/>
      <c r="C584" s="2"/>
      <c r="D584" s="31"/>
      <c r="E584" s="2"/>
      <c r="F584" s="32"/>
      <c r="G584" s="33" t="str">
        <f t="shared" si="48"/>
        <v/>
      </c>
      <c r="H584" s="32" t="str">
        <f t="shared" si="50"/>
        <v/>
      </c>
      <c r="I584" s="44"/>
      <c r="J584" s="31" t="str">
        <f t="shared" si="51"/>
        <v/>
      </c>
      <c r="O584" s="2"/>
      <c r="P584" s="2"/>
      <c r="Q584" s="2"/>
      <c r="R584" s="2"/>
    </row>
    <row r="585" spans="1:18" s="34" customFormat="1" x14ac:dyDescent="0.2">
      <c r="B585" s="29"/>
      <c r="C585" s="2"/>
      <c r="D585" s="31"/>
      <c r="E585" s="2"/>
      <c r="F585" s="32"/>
      <c r="G585" s="33" t="str">
        <f t="shared" si="48"/>
        <v/>
      </c>
      <c r="H585" s="32" t="str">
        <f t="shared" si="50"/>
        <v/>
      </c>
      <c r="I585" s="44"/>
      <c r="J585" s="31" t="str">
        <f t="shared" si="51"/>
        <v/>
      </c>
      <c r="O585" s="2"/>
      <c r="P585" s="2"/>
      <c r="Q585" s="2"/>
      <c r="R585" s="2"/>
    </row>
    <row r="586" spans="1:18" s="34" customFormat="1" x14ac:dyDescent="0.2">
      <c r="B586" s="29"/>
      <c r="C586" s="2"/>
      <c r="D586" s="31"/>
      <c r="E586" s="2"/>
      <c r="F586" s="32"/>
      <c r="G586" s="33" t="str">
        <f t="shared" si="48"/>
        <v/>
      </c>
      <c r="H586" s="32" t="str">
        <f t="shared" si="50"/>
        <v/>
      </c>
      <c r="I586" s="44"/>
      <c r="J586" s="31" t="str">
        <f t="shared" si="51"/>
        <v/>
      </c>
      <c r="O586" s="2"/>
      <c r="P586" s="2"/>
      <c r="Q586" s="2"/>
      <c r="R586" s="2"/>
    </row>
    <row r="587" spans="1:18" s="34" customFormat="1" x14ac:dyDescent="0.2">
      <c r="B587" s="29"/>
      <c r="C587" s="2"/>
      <c r="D587" s="31"/>
      <c r="E587" s="2"/>
      <c r="F587" s="32"/>
      <c r="G587" s="33" t="str">
        <f t="shared" si="48"/>
        <v/>
      </c>
      <c r="H587" s="32" t="str">
        <f t="shared" si="50"/>
        <v/>
      </c>
      <c r="I587" s="44"/>
      <c r="J587" s="31" t="str">
        <f t="shared" si="51"/>
        <v/>
      </c>
      <c r="O587" s="2"/>
      <c r="P587" s="2"/>
      <c r="Q587" s="2"/>
      <c r="R587" s="2"/>
    </row>
    <row r="588" spans="1:18" s="34" customFormat="1" x14ac:dyDescent="0.2">
      <c r="B588" s="29"/>
      <c r="C588" s="2"/>
      <c r="D588" s="31"/>
      <c r="E588" s="2"/>
      <c r="F588" s="32"/>
      <c r="G588" s="33" t="str">
        <f t="shared" si="48"/>
        <v/>
      </c>
      <c r="H588" s="32" t="str">
        <f t="shared" si="50"/>
        <v/>
      </c>
      <c r="I588" s="44"/>
      <c r="J588" s="31" t="str">
        <f t="shared" si="51"/>
        <v/>
      </c>
      <c r="O588" s="2"/>
      <c r="P588" s="2"/>
      <c r="Q588" s="2"/>
      <c r="R588" s="2"/>
    </row>
    <row r="589" spans="1:18" s="34" customFormat="1" x14ac:dyDescent="0.2">
      <c r="B589" s="29"/>
      <c r="C589" s="2"/>
      <c r="D589" s="31"/>
      <c r="E589" s="2"/>
      <c r="F589" s="32"/>
      <c r="G589" s="33" t="str">
        <f t="shared" ref="G589:G617" si="52">IF(F589&lt;&gt;"",F589+G588,"")</f>
        <v/>
      </c>
      <c r="H589" s="32" t="str">
        <f t="shared" si="50"/>
        <v/>
      </c>
      <c r="I589" s="44"/>
      <c r="J589" s="31" t="str">
        <f t="shared" si="51"/>
        <v/>
      </c>
      <c r="O589" s="2"/>
      <c r="P589" s="2"/>
      <c r="Q589" s="2"/>
      <c r="R589" s="2"/>
    </row>
    <row r="590" spans="1:18" s="34" customFormat="1" x14ac:dyDescent="0.2">
      <c r="B590" s="29"/>
      <c r="C590" s="2"/>
      <c r="D590" s="31"/>
      <c r="E590" s="2"/>
      <c r="F590" s="32"/>
      <c r="G590" s="33" t="str">
        <f t="shared" si="52"/>
        <v/>
      </c>
      <c r="H590" s="32" t="str">
        <f t="shared" si="50"/>
        <v/>
      </c>
      <c r="I590" s="44"/>
      <c r="J590" s="31" t="str">
        <f t="shared" si="51"/>
        <v/>
      </c>
      <c r="O590" s="2"/>
      <c r="P590" s="2"/>
      <c r="Q590" s="2"/>
      <c r="R590" s="2"/>
    </row>
    <row r="591" spans="1:18" s="34" customFormat="1" x14ac:dyDescent="0.2">
      <c r="B591" s="29"/>
      <c r="C591" s="2"/>
      <c r="D591" s="31"/>
      <c r="E591" s="2"/>
      <c r="F591" s="32"/>
      <c r="G591" s="33" t="str">
        <f t="shared" si="52"/>
        <v/>
      </c>
      <c r="H591" s="32" t="str">
        <f t="shared" si="50"/>
        <v/>
      </c>
      <c r="I591" s="44"/>
      <c r="J591" s="31" t="str">
        <f t="shared" si="51"/>
        <v/>
      </c>
      <c r="O591" s="2"/>
      <c r="P591" s="2"/>
      <c r="Q591" s="2"/>
      <c r="R591" s="2"/>
    </row>
    <row r="592" spans="1:18" s="34" customFormat="1" x14ac:dyDescent="0.2">
      <c r="B592" s="29"/>
      <c r="C592" s="2"/>
      <c r="D592" s="31"/>
      <c r="E592" s="2"/>
      <c r="F592" s="32"/>
      <c r="G592" s="33" t="str">
        <f t="shared" si="52"/>
        <v/>
      </c>
      <c r="H592" s="32" t="str">
        <f t="shared" si="50"/>
        <v/>
      </c>
      <c r="I592" s="44"/>
      <c r="J592" s="31" t="str">
        <f t="shared" si="51"/>
        <v/>
      </c>
      <c r="O592" s="2"/>
      <c r="P592" s="2"/>
      <c r="Q592" s="2"/>
      <c r="R592" s="2"/>
    </row>
    <row r="593" spans="2:18" s="34" customFormat="1" x14ac:dyDescent="0.2">
      <c r="B593" s="29"/>
      <c r="C593" s="2"/>
      <c r="D593" s="31"/>
      <c r="E593" s="2"/>
      <c r="F593" s="32"/>
      <c r="G593" s="33" t="str">
        <f t="shared" si="52"/>
        <v/>
      </c>
      <c r="H593" s="32" t="str">
        <f t="shared" si="50"/>
        <v/>
      </c>
      <c r="I593" s="44"/>
      <c r="J593" s="31" t="str">
        <f t="shared" si="51"/>
        <v/>
      </c>
      <c r="O593" s="2"/>
      <c r="P593" s="2"/>
      <c r="Q593" s="2"/>
      <c r="R593" s="2"/>
    </row>
    <row r="594" spans="2:18" s="34" customFormat="1" x14ac:dyDescent="0.2">
      <c r="B594" s="29"/>
      <c r="C594" s="2"/>
      <c r="D594" s="31"/>
      <c r="E594" s="2"/>
      <c r="F594" s="32"/>
      <c r="G594" s="33" t="str">
        <f t="shared" si="52"/>
        <v/>
      </c>
      <c r="H594" s="32" t="str">
        <f t="shared" si="50"/>
        <v/>
      </c>
      <c r="I594" s="44"/>
      <c r="J594" s="31" t="str">
        <f t="shared" si="51"/>
        <v/>
      </c>
      <c r="O594" s="2"/>
      <c r="P594" s="2"/>
      <c r="Q594" s="2"/>
      <c r="R594" s="2"/>
    </row>
    <row r="595" spans="2:18" s="34" customFormat="1" x14ac:dyDescent="0.2">
      <c r="B595" s="29"/>
      <c r="C595" s="2"/>
      <c r="D595" s="31"/>
      <c r="E595" s="2"/>
      <c r="F595" s="32"/>
      <c r="G595" s="33" t="str">
        <f t="shared" si="52"/>
        <v/>
      </c>
      <c r="H595" s="32" t="str">
        <f t="shared" si="50"/>
        <v/>
      </c>
      <c r="I595" s="44"/>
      <c r="J595" s="31" t="str">
        <f t="shared" si="51"/>
        <v/>
      </c>
      <c r="O595" s="2"/>
      <c r="P595" s="2"/>
      <c r="Q595" s="2"/>
      <c r="R595" s="2"/>
    </row>
    <row r="596" spans="2:18" s="34" customFormat="1" x14ac:dyDescent="0.2">
      <c r="B596" s="29"/>
      <c r="C596" s="2"/>
      <c r="D596" s="31"/>
      <c r="E596" s="2"/>
      <c r="F596" s="32"/>
      <c r="G596" s="33" t="str">
        <f t="shared" si="52"/>
        <v/>
      </c>
      <c r="H596" s="32" t="str">
        <f t="shared" si="50"/>
        <v/>
      </c>
      <c r="I596" s="44"/>
      <c r="J596" s="31" t="str">
        <f t="shared" si="51"/>
        <v/>
      </c>
      <c r="O596" s="2"/>
      <c r="P596" s="2"/>
      <c r="Q596" s="2"/>
      <c r="R596" s="2"/>
    </row>
    <row r="597" spans="2:18" s="34" customFormat="1" x14ac:dyDescent="0.2">
      <c r="B597" s="29"/>
      <c r="C597" s="2"/>
      <c r="D597" s="31"/>
      <c r="E597" s="2"/>
      <c r="F597" s="32"/>
      <c r="G597" s="33" t="str">
        <f t="shared" si="52"/>
        <v/>
      </c>
      <c r="H597" s="32" t="str">
        <f t="shared" si="50"/>
        <v/>
      </c>
      <c r="I597" s="44"/>
      <c r="J597" s="31" t="str">
        <f t="shared" si="51"/>
        <v/>
      </c>
      <c r="O597" s="2"/>
      <c r="P597" s="2"/>
      <c r="Q597" s="2"/>
      <c r="R597" s="2"/>
    </row>
    <row r="598" spans="2:18" s="34" customFormat="1" x14ac:dyDescent="0.2">
      <c r="B598" s="29"/>
      <c r="C598" s="2"/>
      <c r="D598" s="31"/>
      <c r="E598" s="2"/>
      <c r="F598" s="32"/>
      <c r="G598" s="33" t="str">
        <f t="shared" si="52"/>
        <v/>
      </c>
      <c r="H598" s="32" t="str">
        <f t="shared" si="50"/>
        <v/>
      </c>
      <c r="I598" s="44"/>
      <c r="J598" s="31" t="str">
        <f t="shared" si="51"/>
        <v/>
      </c>
      <c r="O598" s="2"/>
      <c r="P598" s="2"/>
      <c r="Q598" s="2"/>
      <c r="R598" s="2"/>
    </row>
    <row r="599" spans="2:18" s="34" customFormat="1" x14ac:dyDescent="0.2">
      <c r="B599" s="29"/>
      <c r="C599" s="2"/>
      <c r="D599" s="31"/>
      <c r="E599" s="2"/>
      <c r="F599" s="32"/>
      <c r="G599" s="33" t="str">
        <f t="shared" si="52"/>
        <v/>
      </c>
      <c r="H599" s="32" t="str">
        <f t="shared" si="50"/>
        <v/>
      </c>
      <c r="I599" s="44"/>
      <c r="J599" s="31" t="str">
        <f t="shared" si="51"/>
        <v/>
      </c>
      <c r="O599" s="2"/>
      <c r="P599" s="2"/>
      <c r="Q599" s="2"/>
      <c r="R599" s="2"/>
    </row>
    <row r="600" spans="2:18" s="34" customFormat="1" x14ac:dyDescent="0.2">
      <c r="B600" s="29"/>
      <c r="C600" s="2"/>
      <c r="D600" s="31"/>
      <c r="E600" s="2"/>
      <c r="F600" s="32"/>
      <c r="G600" s="33" t="str">
        <f t="shared" si="52"/>
        <v/>
      </c>
      <c r="H600" s="32" t="str">
        <f t="shared" si="50"/>
        <v/>
      </c>
      <c r="I600" s="44"/>
      <c r="J600" s="31" t="str">
        <f t="shared" si="51"/>
        <v/>
      </c>
      <c r="O600" s="2"/>
      <c r="P600" s="2"/>
      <c r="Q600" s="2"/>
      <c r="R600" s="2"/>
    </row>
    <row r="601" spans="2:18" s="34" customFormat="1" x14ac:dyDescent="0.2">
      <c r="B601" s="29"/>
      <c r="C601" s="2"/>
      <c r="D601" s="31"/>
      <c r="E601" s="2"/>
      <c r="F601" s="32"/>
      <c r="G601" s="33" t="str">
        <f t="shared" si="52"/>
        <v/>
      </c>
      <c r="H601" s="32" t="str">
        <f t="shared" si="50"/>
        <v/>
      </c>
      <c r="I601" s="44"/>
      <c r="J601" s="31" t="str">
        <f t="shared" si="51"/>
        <v/>
      </c>
      <c r="O601" s="2"/>
      <c r="P601" s="2"/>
      <c r="Q601" s="2"/>
      <c r="R601" s="2"/>
    </row>
    <row r="602" spans="2:18" s="34" customFormat="1" x14ac:dyDescent="0.2">
      <c r="B602" s="29"/>
      <c r="C602" s="2"/>
      <c r="D602" s="31"/>
      <c r="E602" s="2"/>
      <c r="F602" s="32"/>
      <c r="G602" s="33" t="str">
        <f t="shared" si="52"/>
        <v/>
      </c>
      <c r="H602" s="32" t="str">
        <f t="shared" si="50"/>
        <v/>
      </c>
      <c r="I602" s="44"/>
      <c r="J602" s="31" t="str">
        <f t="shared" si="51"/>
        <v/>
      </c>
      <c r="O602" s="2"/>
      <c r="P602" s="2"/>
      <c r="Q602" s="2"/>
      <c r="R602" s="2"/>
    </row>
    <row r="603" spans="2:18" s="34" customFormat="1" x14ac:dyDescent="0.2">
      <c r="B603" s="29"/>
      <c r="C603" s="2"/>
      <c r="D603" s="31"/>
      <c r="E603" s="2"/>
      <c r="F603" s="32"/>
      <c r="G603" s="33" t="str">
        <f t="shared" si="52"/>
        <v/>
      </c>
      <c r="H603" s="32" t="str">
        <f t="shared" si="50"/>
        <v/>
      </c>
      <c r="I603" s="44"/>
      <c r="J603" s="31" t="str">
        <f t="shared" si="51"/>
        <v/>
      </c>
      <c r="O603" s="2"/>
      <c r="P603" s="2"/>
      <c r="Q603" s="2"/>
      <c r="R603" s="2"/>
    </row>
    <row r="604" spans="2:18" s="34" customFormat="1" x14ac:dyDescent="0.2">
      <c r="B604" s="29"/>
      <c r="C604" s="2"/>
      <c r="D604" s="31"/>
      <c r="E604" s="2"/>
      <c r="F604" s="32"/>
      <c r="G604" s="33" t="str">
        <f t="shared" si="52"/>
        <v/>
      </c>
      <c r="H604" s="32" t="str">
        <f t="shared" si="50"/>
        <v/>
      </c>
      <c r="I604" s="44"/>
      <c r="J604" s="31" t="str">
        <f t="shared" si="51"/>
        <v/>
      </c>
      <c r="O604" s="2"/>
      <c r="P604" s="2"/>
      <c r="Q604" s="2"/>
      <c r="R604" s="2"/>
    </row>
    <row r="605" spans="2:18" s="34" customFormat="1" x14ac:dyDescent="0.2">
      <c r="B605" s="29"/>
      <c r="C605" s="2"/>
      <c r="D605" s="31"/>
      <c r="E605" s="2"/>
      <c r="F605" s="32"/>
      <c r="G605" s="33" t="str">
        <f t="shared" si="52"/>
        <v/>
      </c>
      <c r="H605" s="32" t="str">
        <f t="shared" si="50"/>
        <v/>
      </c>
      <c r="I605" s="44"/>
      <c r="J605" s="31" t="str">
        <f t="shared" si="51"/>
        <v/>
      </c>
      <c r="O605" s="2"/>
      <c r="P605" s="2"/>
      <c r="Q605" s="2"/>
      <c r="R605" s="2"/>
    </row>
    <row r="606" spans="2:18" s="34" customFormat="1" x14ac:dyDescent="0.2">
      <c r="B606" s="29"/>
      <c r="C606" s="2"/>
      <c r="D606" s="31"/>
      <c r="E606" s="2"/>
      <c r="F606" s="32"/>
      <c r="G606" s="33" t="str">
        <f t="shared" si="52"/>
        <v/>
      </c>
      <c r="H606" s="32" t="str">
        <f t="shared" si="50"/>
        <v/>
      </c>
      <c r="I606" s="44"/>
      <c r="J606" s="31" t="str">
        <f t="shared" si="51"/>
        <v/>
      </c>
      <c r="O606" s="2"/>
      <c r="P606" s="2"/>
      <c r="Q606" s="2"/>
      <c r="R606" s="2"/>
    </row>
    <row r="607" spans="2:18" s="34" customFormat="1" x14ac:dyDescent="0.2">
      <c r="B607" s="29"/>
      <c r="C607" s="2"/>
      <c r="D607" s="31"/>
      <c r="E607" s="2"/>
      <c r="F607" s="32"/>
      <c r="G607" s="33" t="str">
        <f t="shared" si="52"/>
        <v/>
      </c>
      <c r="H607" s="32" t="str">
        <f t="shared" si="50"/>
        <v/>
      </c>
      <c r="I607" s="44"/>
      <c r="J607" s="31" t="str">
        <f t="shared" si="51"/>
        <v/>
      </c>
      <c r="O607" s="2"/>
      <c r="P607" s="2"/>
      <c r="Q607" s="2"/>
      <c r="R607" s="2"/>
    </row>
    <row r="608" spans="2:18" s="34" customFormat="1" x14ac:dyDescent="0.2">
      <c r="B608" s="29"/>
      <c r="C608" s="2"/>
      <c r="D608" s="31"/>
      <c r="E608" s="2"/>
      <c r="F608" s="32"/>
      <c r="G608" s="33" t="str">
        <f t="shared" si="52"/>
        <v/>
      </c>
      <c r="H608" s="32" t="str">
        <f t="shared" si="50"/>
        <v/>
      </c>
      <c r="I608" s="44"/>
      <c r="J608" s="31" t="str">
        <f t="shared" si="51"/>
        <v/>
      </c>
      <c r="O608" s="2"/>
      <c r="P608" s="2"/>
      <c r="Q608" s="2"/>
      <c r="R608" s="2"/>
    </row>
    <row r="609" spans="1:18" s="34" customFormat="1" x14ac:dyDescent="0.2">
      <c r="B609" s="29"/>
      <c r="C609" s="2"/>
      <c r="D609" s="31"/>
      <c r="E609" s="2"/>
      <c r="F609" s="32"/>
      <c r="G609" s="33" t="str">
        <f t="shared" si="52"/>
        <v/>
      </c>
      <c r="H609" s="32" t="str">
        <f t="shared" si="50"/>
        <v/>
      </c>
      <c r="I609" s="44"/>
      <c r="J609" s="31" t="str">
        <f t="shared" si="51"/>
        <v/>
      </c>
      <c r="O609" s="2"/>
      <c r="P609" s="2"/>
      <c r="Q609" s="2"/>
      <c r="R609" s="2"/>
    </row>
    <row r="610" spans="1:18" s="34" customFormat="1" x14ac:dyDescent="0.2">
      <c r="B610" s="29"/>
      <c r="C610" s="2"/>
      <c r="D610" s="31"/>
      <c r="E610" s="2"/>
      <c r="F610" s="32"/>
      <c r="G610" s="33" t="str">
        <f t="shared" si="52"/>
        <v/>
      </c>
      <c r="H610" s="32" t="str">
        <f t="shared" si="50"/>
        <v/>
      </c>
      <c r="I610" s="44"/>
      <c r="J610" s="31" t="str">
        <f t="shared" si="51"/>
        <v/>
      </c>
      <c r="O610" s="2"/>
      <c r="P610" s="2"/>
      <c r="Q610" s="2"/>
      <c r="R610" s="2"/>
    </row>
    <row r="611" spans="1:18" s="34" customFormat="1" x14ac:dyDescent="0.2">
      <c r="B611" s="29"/>
      <c r="C611" s="2"/>
      <c r="D611" s="31"/>
      <c r="E611" s="2"/>
      <c r="F611" s="32"/>
      <c r="G611" s="33" t="str">
        <f t="shared" si="52"/>
        <v/>
      </c>
      <c r="H611" s="32" t="str">
        <f t="shared" si="50"/>
        <v/>
      </c>
      <c r="I611" s="44"/>
      <c r="J611" s="31" t="str">
        <f t="shared" si="51"/>
        <v/>
      </c>
      <c r="O611" s="2"/>
      <c r="P611" s="2"/>
      <c r="Q611" s="2"/>
      <c r="R611" s="2"/>
    </row>
    <row r="612" spans="1:18" s="34" customFormat="1" x14ac:dyDescent="0.2">
      <c r="B612" s="29"/>
      <c r="C612" s="2"/>
      <c r="D612" s="31"/>
      <c r="E612" s="2"/>
      <c r="F612" s="40"/>
      <c r="G612" s="33" t="str">
        <f t="shared" si="52"/>
        <v/>
      </c>
      <c r="H612" s="32" t="str">
        <f t="shared" si="50"/>
        <v/>
      </c>
      <c r="I612" s="44"/>
      <c r="J612" s="31" t="str">
        <f t="shared" si="51"/>
        <v/>
      </c>
      <c r="O612" s="2"/>
      <c r="P612" s="2"/>
      <c r="Q612" s="2"/>
      <c r="R612" s="2"/>
    </row>
    <row r="613" spans="1:18" s="34" customFormat="1" x14ac:dyDescent="0.2">
      <c r="B613" s="29"/>
      <c r="C613" s="2"/>
      <c r="D613" s="31"/>
      <c r="E613" s="2"/>
      <c r="F613" s="40"/>
      <c r="G613" s="41" t="str">
        <f t="shared" si="52"/>
        <v/>
      </c>
      <c r="H613" s="32" t="str">
        <f t="shared" si="50"/>
        <v/>
      </c>
      <c r="I613" s="44"/>
      <c r="J613" s="31" t="str">
        <f t="shared" si="51"/>
        <v/>
      </c>
      <c r="O613" s="2"/>
      <c r="P613" s="2"/>
      <c r="Q613" s="2"/>
      <c r="R613" s="2"/>
    </row>
    <row r="614" spans="1:18" s="34" customFormat="1" x14ac:dyDescent="0.2">
      <c r="B614" s="29"/>
      <c r="C614" s="2"/>
      <c r="D614" s="31"/>
      <c r="E614" s="2"/>
      <c r="F614" s="40"/>
      <c r="G614" s="33" t="str">
        <f t="shared" si="52"/>
        <v/>
      </c>
      <c r="H614" s="32" t="str">
        <f t="shared" si="50"/>
        <v/>
      </c>
      <c r="I614" s="44"/>
      <c r="J614" s="31" t="str">
        <f t="shared" si="51"/>
        <v/>
      </c>
      <c r="O614" s="2"/>
      <c r="P614" s="2"/>
      <c r="Q614" s="2"/>
      <c r="R614" s="2"/>
    </row>
    <row r="615" spans="1:18" s="34" customFormat="1" x14ac:dyDescent="0.2">
      <c r="B615" s="29"/>
      <c r="C615" s="2"/>
      <c r="D615" s="31"/>
      <c r="E615" s="2"/>
      <c r="F615" s="40"/>
      <c r="G615" s="41" t="str">
        <f t="shared" si="52"/>
        <v/>
      </c>
      <c r="H615" s="32" t="str">
        <f t="shared" si="50"/>
        <v/>
      </c>
      <c r="I615" s="44"/>
      <c r="J615" s="31" t="str">
        <f t="shared" si="51"/>
        <v/>
      </c>
      <c r="O615" s="2"/>
      <c r="P615" s="2"/>
      <c r="Q615" s="2"/>
      <c r="R615" s="2"/>
    </row>
    <row r="616" spans="1:18" s="34" customFormat="1" x14ac:dyDescent="0.2">
      <c r="B616" s="29"/>
      <c r="C616" s="2"/>
      <c r="D616" s="31"/>
      <c r="E616" s="2"/>
      <c r="F616" s="40"/>
      <c r="G616" s="33" t="str">
        <f t="shared" si="52"/>
        <v/>
      </c>
      <c r="H616" s="32" t="str">
        <f t="shared" si="50"/>
        <v/>
      </c>
      <c r="I616" s="44"/>
      <c r="J616" s="31" t="str">
        <f t="shared" si="51"/>
        <v/>
      </c>
      <c r="O616" s="2"/>
      <c r="P616" s="2"/>
      <c r="Q616" s="2"/>
      <c r="R616" s="2"/>
    </row>
    <row r="617" spans="1:18" s="34" customFormat="1" x14ac:dyDescent="0.2">
      <c r="B617" s="29"/>
      <c r="C617" s="2"/>
      <c r="D617" s="31"/>
      <c r="E617" s="2"/>
      <c r="F617" s="40"/>
      <c r="G617" s="41" t="str">
        <f t="shared" si="52"/>
        <v/>
      </c>
      <c r="H617" s="32" t="str">
        <f t="shared" si="50"/>
        <v/>
      </c>
      <c r="I617" s="44"/>
      <c r="J617" s="31" t="str">
        <f t="shared" si="51"/>
        <v/>
      </c>
      <c r="O617" s="2"/>
      <c r="P617" s="2"/>
      <c r="Q617" s="2"/>
      <c r="R617" s="2"/>
    </row>
    <row r="618" spans="1:18" s="2" customFormat="1" x14ac:dyDescent="0.2">
      <c r="A618" s="34"/>
      <c r="B618" s="34"/>
      <c r="F618" s="40"/>
      <c r="G618" s="42"/>
      <c r="H618" s="43"/>
      <c r="J618" s="34"/>
      <c r="L618" s="34"/>
      <c r="M618" s="34"/>
    </row>
    <row r="619" spans="1:18" s="2" customFormat="1" x14ac:dyDescent="0.2">
      <c r="A619" s="34"/>
      <c r="B619" s="34"/>
      <c r="F619" s="40"/>
      <c r="G619" s="42"/>
      <c r="H619" s="43"/>
      <c r="J619" s="34"/>
      <c r="L619" s="34"/>
      <c r="M619" s="34"/>
    </row>
    <row r="620" spans="1:18" s="2" customFormat="1" x14ac:dyDescent="0.2">
      <c r="A620" s="34"/>
      <c r="B620" s="34"/>
      <c r="F620" s="40"/>
      <c r="G620" s="42"/>
      <c r="H620" s="43"/>
      <c r="J620" s="34"/>
      <c r="L620" s="34"/>
      <c r="M620" s="34"/>
    </row>
    <row r="621" spans="1:18" s="2" customFormat="1" x14ac:dyDescent="0.2">
      <c r="A621" s="34"/>
      <c r="B621" s="34"/>
      <c r="F621" s="40"/>
      <c r="G621" s="42"/>
      <c r="H621" s="43"/>
      <c r="J621" s="34"/>
      <c r="L621" s="34"/>
      <c r="M621" s="34"/>
    </row>
    <row r="622" spans="1:18" s="2" customFormat="1" x14ac:dyDescent="0.2">
      <c r="A622" s="34"/>
      <c r="B622" s="34"/>
      <c r="F622" s="40"/>
      <c r="G622" s="42"/>
      <c r="H622" s="43"/>
      <c r="J622" s="34"/>
      <c r="L622" s="34"/>
      <c r="M622" s="34"/>
    </row>
    <row r="623" spans="1:18" s="2" customFormat="1" x14ac:dyDescent="0.2">
      <c r="A623" s="34"/>
      <c r="B623" s="34"/>
      <c r="F623" s="40"/>
      <c r="G623" s="42"/>
      <c r="H623" s="43"/>
      <c r="J623" s="34"/>
      <c r="L623" s="34"/>
      <c r="M623" s="34"/>
    </row>
    <row r="624" spans="1:18" s="2" customFormat="1" x14ac:dyDescent="0.2">
      <c r="A624" s="34"/>
      <c r="B624" s="34"/>
      <c r="F624" s="40"/>
      <c r="G624" s="42"/>
      <c r="H624" s="43"/>
      <c r="J624" s="34"/>
      <c r="L624" s="34"/>
      <c r="M624" s="34"/>
    </row>
    <row r="625" spans="1:13" s="2" customFormat="1" x14ac:dyDescent="0.2">
      <c r="A625" s="34"/>
      <c r="B625" s="34"/>
      <c r="F625" s="40"/>
      <c r="G625" s="42"/>
      <c r="H625" s="43"/>
      <c r="J625" s="34"/>
      <c r="L625" s="34"/>
      <c r="M625" s="34"/>
    </row>
    <row r="626" spans="1:13" s="2" customFormat="1" x14ac:dyDescent="0.2">
      <c r="A626" s="34"/>
      <c r="B626" s="34"/>
      <c r="F626" s="40"/>
      <c r="G626" s="42"/>
      <c r="H626" s="43"/>
      <c r="J626" s="34"/>
      <c r="L626" s="34"/>
      <c r="M626" s="34"/>
    </row>
    <row r="627" spans="1:13" s="2" customFormat="1" x14ac:dyDescent="0.2">
      <c r="A627" s="34"/>
      <c r="B627" s="34"/>
      <c r="F627" s="40"/>
      <c r="G627" s="42"/>
      <c r="H627" s="43"/>
      <c r="J627" s="34"/>
      <c r="L627" s="34"/>
      <c r="M627" s="34"/>
    </row>
    <row r="628" spans="1:13" s="2" customFormat="1" x14ac:dyDescent="0.2">
      <c r="A628" s="34"/>
      <c r="B628" s="34"/>
      <c r="F628" s="40"/>
      <c r="G628" s="42"/>
      <c r="H628" s="43"/>
      <c r="J628" s="34"/>
      <c r="L628" s="34"/>
      <c r="M628" s="34"/>
    </row>
    <row r="629" spans="1:13" s="2" customFormat="1" x14ac:dyDescent="0.2">
      <c r="A629" s="34"/>
      <c r="B629" s="34"/>
      <c r="F629" s="40"/>
      <c r="G629" s="42"/>
      <c r="H629" s="43"/>
      <c r="J629" s="34"/>
      <c r="L629" s="34"/>
      <c r="M629" s="34"/>
    </row>
    <row r="630" spans="1:13" s="2" customFormat="1" x14ac:dyDescent="0.2">
      <c r="A630" s="34"/>
      <c r="B630" s="34"/>
      <c r="F630" s="40"/>
      <c r="G630" s="42"/>
      <c r="H630" s="43"/>
      <c r="J630" s="34"/>
      <c r="L630" s="34"/>
      <c r="M630" s="34"/>
    </row>
    <row r="631" spans="1:13" s="2" customFormat="1" x14ac:dyDescent="0.2">
      <c r="A631" s="34"/>
      <c r="B631" s="34"/>
      <c r="F631" s="40"/>
      <c r="G631" s="42"/>
      <c r="H631" s="43"/>
      <c r="J631" s="34"/>
      <c r="L631" s="34"/>
      <c r="M631" s="34"/>
    </row>
    <row r="632" spans="1:13" s="2" customFormat="1" x14ac:dyDescent="0.2">
      <c r="A632" s="34"/>
      <c r="B632" s="34"/>
      <c r="F632" s="40"/>
      <c r="G632" s="42"/>
      <c r="H632" s="43"/>
      <c r="J632" s="34"/>
      <c r="L632" s="34"/>
      <c r="M632" s="34"/>
    </row>
    <row r="633" spans="1:13" s="2" customFormat="1" x14ac:dyDescent="0.2">
      <c r="A633" s="34"/>
      <c r="B633" s="34"/>
      <c r="F633" s="40"/>
      <c r="G633" s="42"/>
      <c r="H633" s="43"/>
      <c r="J633" s="34"/>
      <c r="L633" s="34"/>
      <c r="M633" s="34"/>
    </row>
    <row r="634" spans="1:13" s="2" customFormat="1" x14ac:dyDescent="0.2">
      <c r="A634" s="34"/>
      <c r="B634" s="34"/>
      <c r="F634" s="40"/>
      <c r="G634" s="42"/>
      <c r="H634" s="43"/>
      <c r="J634" s="34"/>
      <c r="L634" s="34"/>
      <c r="M634" s="34"/>
    </row>
    <row r="635" spans="1:13" s="2" customFormat="1" x14ac:dyDescent="0.2">
      <c r="A635" s="34"/>
      <c r="B635" s="34"/>
      <c r="F635" s="40"/>
      <c r="G635" s="42"/>
      <c r="H635" s="43"/>
      <c r="J635" s="34"/>
      <c r="L635" s="34"/>
      <c r="M635" s="34"/>
    </row>
    <row r="636" spans="1:13" s="2" customFormat="1" x14ac:dyDescent="0.2">
      <c r="A636" s="34"/>
      <c r="B636" s="34"/>
      <c r="F636" s="40"/>
      <c r="G636" s="42"/>
      <c r="H636" s="43"/>
      <c r="J636" s="34"/>
      <c r="L636" s="34"/>
      <c r="M636" s="34"/>
    </row>
    <row r="637" spans="1:13" s="2" customFormat="1" x14ac:dyDescent="0.2">
      <c r="A637" s="34"/>
      <c r="B637" s="34"/>
      <c r="F637" s="40"/>
      <c r="G637" s="42"/>
      <c r="H637" s="43"/>
      <c r="J637" s="34"/>
      <c r="L637" s="34"/>
      <c r="M637" s="34"/>
    </row>
    <row r="638" spans="1:13" s="2" customFormat="1" x14ac:dyDescent="0.2">
      <c r="A638" s="34"/>
      <c r="B638" s="34"/>
      <c r="F638" s="40"/>
      <c r="G638" s="42"/>
      <c r="H638" s="43"/>
      <c r="J638" s="34"/>
      <c r="L638" s="34"/>
      <c r="M638" s="34"/>
    </row>
    <row r="639" spans="1:13" s="2" customFormat="1" x14ac:dyDescent="0.2">
      <c r="A639" s="34"/>
      <c r="B639" s="34"/>
      <c r="F639" s="40"/>
      <c r="G639" s="42"/>
      <c r="H639" s="43"/>
      <c r="J639" s="34"/>
      <c r="L639" s="34"/>
      <c r="M639" s="34"/>
    </row>
    <row r="640" spans="1:13" s="2" customFormat="1" x14ac:dyDescent="0.2">
      <c r="A640" s="34"/>
      <c r="B640" s="34"/>
      <c r="F640" s="40"/>
      <c r="G640" s="42"/>
      <c r="H640" s="43"/>
      <c r="J640" s="34"/>
      <c r="L640" s="34"/>
      <c r="M640" s="34"/>
    </row>
  </sheetData>
  <mergeCells count="1">
    <mergeCell ref="C1:D1"/>
  </mergeCells>
  <conditionalFormatting sqref="P6:P147">
    <cfRule type="expression" dxfId="1" priority="134">
      <formula>$A6=1</formula>
    </cfRule>
  </conditionalFormatting>
  <conditionalFormatting sqref="A6:A583">
    <cfRule type="iconSet" priority="2">
      <iconSet iconSet="3Symbols2" showValue="0">
        <cfvo type="percent" val="0"/>
        <cfvo type="num" val="1"/>
        <cfvo type="num" val="1"/>
      </iconSet>
    </cfRule>
  </conditionalFormatting>
  <conditionalFormatting sqref="B6:O617">
    <cfRule type="expression" dxfId="0" priority="1">
      <formula>$A6=0</formula>
    </cfRule>
  </conditionalFormatting>
  <dataValidations yWindow="233" count="3">
    <dataValidation type="decimal" errorStyle="warning" allowBlank="1" showInputMessage="1" showErrorMessage="1" errorTitle="VALOR INVÁLIDO" error="Verifique o valor digitado" promptTitle="DICA" prompt="Utilize CTRL+SHIFT+M para_x000a_Alterar de - para +_x000a_Alterar de + para -" sqref="F17:F80 F84:F503 F6:F12">
      <formula1>-10000000</formula1>
      <formula2>10000000</formula2>
    </dataValidation>
    <dataValidation allowBlank="1" showInputMessage="1" showErrorMessage="1" promptTitle="DICA" prompt="Digite as NF's entre [ e ]._x000a_Ex.: [1265; 1330; 1370; 1160] " sqref="K6:K499"/>
    <dataValidation allowBlank="1" showInputMessage="1" showErrorMessage="1" promptTitle="DICA" prompt="CTRL+SHIFT+P para abrir a pesquisa de Fornecedores" sqref="L6:L494"/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H6:H617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163"/>
  <sheetViews>
    <sheetView workbookViewId="0">
      <selection activeCell="A2" sqref="A2"/>
    </sheetView>
  </sheetViews>
  <sheetFormatPr defaultRowHeight="15" x14ac:dyDescent="0.25"/>
  <cols>
    <col min="1" max="1" width="10.7109375" bestFit="1" customWidth="1"/>
    <col min="4" max="4" width="10.7109375" bestFit="1" customWidth="1"/>
    <col min="6" max="6" width="66.140625" bestFit="1" customWidth="1"/>
  </cols>
  <sheetData>
    <row r="1" spans="1:6" x14ac:dyDescent="0.25">
      <c r="A1" s="21" t="s">
        <v>1897</v>
      </c>
      <c r="B1" s="21" t="s">
        <v>1898</v>
      </c>
      <c r="C1" s="21" t="s">
        <v>1899</v>
      </c>
      <c r="D1" s="21" t="s">
        <v>2</v>
      </c>
      <c r="E1" s="21" t="s">
        <v>1900</v>
      </c>
      <c r="F1" s="21" t="s">
        <v>1901</v>
      </c>
    </row>
    <row r="2" spans="1:6" x14ac:dyDescent="0.25">
      <c r="A2" s="46">
        <v>43102</v>
      </c>
      <c r="B2">
        <v>505</v>
      </c>
      <c r="C2">
        <v>519</v>
      </c>
      <c r="D2" s="47">
        <v>3364.88</v>
      </c>
      <c r="E2">
        <v>70</v>
      </c>
      <c r="F2" t="s">
        <v>1947</v>
      </c>
    </row>
    <row r="3" spans="1:6" x14ac:dyDescent="0.25">
      <c r="A3" s="46">
        <v>43102</v>
      </c>
      <c r="B3">
        <v>505</v>
      </c>
      <c r="C3">
        <v>519</v>
      </c>
      <c r="D3" s="47">
        <v>744</v>
      </c>
      <c r="E3">
        <v>70</v>
      </c>
      <c r="F3" t="s">
        <v>1948</v>
      </c>
    </row>
    <row r="4" spans="1:6" x14ac:dyDescent="0.25">
      <c r="A4" s="46">
        <v>43102</v>
      </c>
      <c r="B4">
        <v>505</v>
      </c>
      <c r="C4">
        <v>519</v>
      </c>
      <c r="D4" s="56">
        <v>1221.47</v>
      </c>
      <c r="E4">
        <v>70</v>
      </c>
      <c r="F4" t="s">
        <v>1949</v>
      </c>
    </row>
    <row r="5" spans="1:6" x14ac:dyDescent="0.25">
      <c r="A5" s="46">
        <v>43102</v>
      </c>
      <c r="B5">
        <v>505</v>
      </c>
      <c r="C5">
        <v>519</v>
      </c>
      <c r="D5" s="56">
        <v>312</v>
      </c>
      <c r="E5">
        <v>70</v>
      </c>
      <c r="F5" t="s">
        <v>1950</v>
      </c>
    </row>
    <row r="6" spans="1:6" x14ac:dyDescent="0.25">
      <c r="A6" s="46">
        <v>43102</v>
      </c>
      <c r="B6">
        <v>505</v>
      </c>
      <c r="C6">
        <v>519</v>
      </c>
      <c r="D6" s="47">
        <v>349</v>
      </c>
      <c r="E6">
        <v>70</v>
      </c>
      <c r="F6" t="s">
        <v>1951</v>
      </c>
    </row>
    <row r="7" spans="1:6" x14ac:dyDescent="0.25">
      <c r="A7" s="46">
        <v>43102</v>
      </c>
      <c r="B7">
        <v>505</v>
      </c>
      <c r="C7">
        <v>519</v>
      </c>
      <c r="D7" s="47">
        <v>148</v>
      </c>
      <c r="E7">
        <v>70</v>
      </c>
      <c r="F7" t="s">
        <v>1952</v>
      </c>
    </row>
    <row r="8" spans="1:6" x14ac:dyDescent="0.25">
      <c r="A8" s="46">
        <v>43102</v>
      </c>
      <c r="B8">
        <v>505</v>
      </c>
      <c r="C8">
        <v>519</v>
      </c>
      <c r="D8" s="56">
        <v>207.47</v>
      </c>
      <c r="E8">
        <v>70</v>
      </c>
      <c r="F8" t="s">
        <v>1953</v>
      </c>
    </row>
    <row r="9" spans="1:6" x14ac:dyDescent="0.25">
      <c r="A9" s="46">
        <v>43103</v>
      </c>
      <c r="B9">
        <v>505</v>
      </c>
      <c r="C9">
        <v>519</v>
      </c>
      <c r="D9" s="56">
        <v>744.5</v>
      </c>
      <c r="E9">
        <v>70</v>
      </c>
      <c r="F9" t="s">
        <v>1954</v>
      </c>
    </row>
    <row r="10" spans="1:6" x14ac:dyDescent="0.25">
      <c r="A10" s="46">
        <v>43103</v>
      </c>
      <c r="B10">
        <v>505</v>
      </c>
      <c r="C10">
        <v>519</v>
      </c>
      <c r="D10" s="56">
        <v>2451.38</v>
      </c>
      <c r="E10">
        <v>70</v>
      </c>
      <c r="F10" t="s">
        <v>1955</v>
      </c>
    </row>
    <row r="11" spans="1:6" x14ac:dyDescent="0.25">
      <c r="A11" s="46">
        <v>43103</v>
      </c>
      <c r="B11">
        <v>505</v>
      </c>
      <c r="C11">
        <v>519</v>
      </c>
      <c r="D11" s="56">
        <v>325.60000000000002</v>
      </c>
      <c r="E11">
        <v>70</v>
      </c>
      <c r="F11" t="s">
        <v>1956</v>
      </c>
    </row>
    <row r="12" spans="1:6" x14ac:dyDescent="0.25">
      <c r="A12" s="46">
        <v>43103</v>
      </c>
      <c r="B12">
        <v>505</v>
      </c>
      <c r="C12">
        <v>519</v>
      </c>
      <c r="D12" s="56">
        <v>610</v>
      </c>
      <c r="E12">
        <v>70</v>
      </c>
      <c r="F12" t="s">
        <v>1957</v>
      </c>
    </row>
    <row r="13" spans="1:6" x14ac:dyDescent="0.25">
      <c r="A13" s="46">
        <v>43103</v>
      </c>
      <c r="B13">
        <v>505</v>
      </c>
      <c r="C13">
        <v>519</v>
      </c>
      <c r="D13" s="56">
        <v>262.92</v>
      </c>
      <c r="E13">
        <v>70</v>
      </c>
      <c r="F13" t="s">
        <v>1958</v>
      </c>
    </row>
    <row r="14" spans="1:6" x14ac:dyDescent="0.25">
      <c r="A14" s="46">
        <v>43104</v>
      </c>
      <c r="B14">
        <v>505</v>
      </c>
      <c r="C14">
        <v>519</v>
      </c>
      <c r="D14" s="56">
        <v>1359.83</v>
      </c>
      <c r="E14">
        <v>70</v>
      </c>
      <c r="F14" t="s">
        <v>1959</v>
      </c>
    </row>
    <row r="15" spans="1:6" x14ac:dyDescent="0.25">
      <c r="A15" s="46">
        <v>43104</v>
      </c>
      <c r="B15">
        <v>505</v>
      </c>
      <c r="C15">
        <v>519</v>
      </c>
      <c r="D15" s="56">
        <v>1374.84</v>
      </c>
      <c r="E15">
        <v>70</v>
      </c>
      <c r="F15" t="s">
        <v>1960</v>
      </c>
    </row>
    <row r="16" spans="1:6" x14ac:dyDescent="0.25">
      <c r="A16" s="46">
        <v>43104</v>
      </c>
      <c r="B16">
        <v>505</v>
      </c>
      <c r="C16">
        <v>519</v>
      </c>
      <c r="D16" s="56">
        <v>577.09</v>
      </c>
      <c r="E16">
        <v>70</v>
      </c>
      <c r="F16" t="s">
        <v>1961</v>
      </c>
    </row>
    <row r="17" spans="1:6" x14ac:dyDescent="0.25">
      <c r="A17" s="46">
        <v>43104</v>
      </c>
      <c r="B17">
        <v>505</v>
      </c>
      <c r="C17">
        <v>519</v>
      </c>
      <c r="D17" s="56">
        <v>885.63</v>
      </c>
      <c r="E17">
        <v>70</v>
      </c>
      <c r="F17" t="s">
        <v>1962</v>
      </c>
    </row>
    <row r="18" spans="1:6" x14ac:dyDescent="0.25">
      <c r="A18" s="46">
        <v>43104</v>
      </c>
      <c r="B18">
        <v>505</v>
      </c>
      <c r="C18">
        <v>519</v>
      </c>
      <c r="D18" s="56">
        <v>551.5</v>
      </c>
      <c r="E18">
        <v>70</v>
      </c>
      <c r="F18" t="s">
        <v>1963</v>
      </c>
    </row>
    <row r="19" spans="1:6" x14ac:dyDescent="0.25">
      <c r="A19" s="46">
        <v>43104</v>
      </c>
      <c r="B19">
        <v>505</v>
      </c>
      <c r="C19">
        <v>519</v>
      </c>
      <c r="D19" s="56">
        <v>155.6</v>
      </c>
      <c r="E19">
        <v>70</v>
      </c>
      <c r="F19" t="s">
        <v>1964</v>
      </c>
    </row>
    <row r="20" spans="1:6" x14ac:dyDescent="0.25">
      <c r="A20" s="46">
        <v>43104</v>
      </c>
      <c r="B20">
        <v>505</v>
      </c>
      <c r="C20">
        <v>519</v>
      </c>
      <c r="D20" s="56">
        <v>184.02</v>
      </c>
      <c r="E20">
        <v>70</v>
      </c>
      <c r="F20" t="s">
        <v>1965</v>
      </c>
    </row>
    <row r="21" spans="1:6" x14ac:dyDescent="0.25">
      <c r="A21" s="46">
        <v>43105</v>
      </c>
      <c r="B21">
        <v>505</v>
      </c>
      <c r="C21">
        <v>519</v>
      </c>
      <c r="D21" s="56">
        <v>2045</v>
      </c>
      <c r="E21">
        <v>70</v>
      </c>
      <c r="F21" t="s">
        <v>1966</v>
      </c>
    </row>
    <row r="22" spans="1:6" x14ac:dyDescent="0.25">
      <c r="A22" s="46">
        <v>43105</v>
      </c>
      <c r="B22">
        <v>505</v>
      </c>
      <c r="C22">
        <v>519</v>
      </c>
      <c r="D22" s="56">
        <v>259.95</v>
      </c>
      <c r="E22">
        <v>70</v>
      </c>
      <c r="F22" t="s">
        <v>1967</v>
      </c>
    </row>
    <row r="23" spans="1:6" x14ac:dyDescent="0.25">
      <c r="A23" s="46">
        <v>43108</v>
      </c>
      <c r="B23">
        <v>505</v>
      </c>
      <c r="C23">
        <v>519</v>
      </c>
      <c r="D23" s="56">
        <v>2518.9499999999998</v>
      </c>
      <c r="E23">
        <v>70</v>
      </c>
      <c r="F23" t="s">
        <v>1968</v>
      </c>
    </row>
    <row r="24" spans="1:6" x14ac:dyDescent="0.25">
      <c r="A24" s="46">
        <v>43108</v>
      </c>
      <c r="B24">
        <v>505</v>
      </c>
      <c r="C24">
        <v>519</v>
      </c>
      <c r="D24" s="56">
        <v>121.99</v>
      </c>
      <c r="E24">
        <v>70</v>
      </c>
      <c r="F24" t="s">
        <v>1969</v>
      </c>
    </row>
    <row r="25" spans="1:6" x14ac:dyDescent="0.25">
      <c r="A25" s="46">
        <v>43106</v>
      </c>
      <c r="B25">
        <v>505</v>
      </c>
      <c r="C25">
        <v>519</v>
      </c>
      <c r="D25" s="56">
        <v>2256.12</v>
      </c>
      <c r="E25">
        <v>70</v>
      </c>
      <c r="F25" t="s">
        <v>1970</v>
      </c>
    </row>
    <row r="26" spans="1:6" x14ac:dyDescent="0.25">
      <c r="A26" s="46">
        <v>43108</v>
      </c>
      <c r="B26">
        <v>505</v>
      </c>
      <c r="C26">
        <v>519</v>
      </c>
      <c r="D26" s="56">
        <v>4400.68</v>
      </c>
      <c r="E26">
        <v>70</v>
      </c>
      <c r="F26" t="s">
        <v>1971</v>
      </c>
    </row>
    <row r="27" spans="1:6" x14ac:dyDescent="0.25">
      <c r="A27" s="46">
        <v>43109</v>
      </c>
      <c r="B27">
        <v>505</v>
      </c>
      <c r="C27">
        <v>519</v>
      </c>
      <c r="D27" s="56">
        <v>1218</v>
      </c>
      <c r="E27">
        <v>70</v>
      </c>
      <c r="F27" t="s">
        <v>1972</v>
      </c>
    </row>
    <row r="28" spans="1:6" x14ac:dyDescent="0.25">
      <c r="A28" s="46">
        <v>43111</v>
      </c>
      <c r="B28">
        <v>505</v>
      </c>
      <c r="C28">
        <v>519</v>
      </c>
      <c r="D28" s="56">
        <v>551.5</v>
      </c>
      <c r="E28">
        <v>70</v>
      </c>
      <c r="F28" t="s">
        <v>1963</v>
      </c>
    </row>
    <row r="29" spans="1:6" x14ac:dyDescent="0.25">
      <c r="A29" s="46">
        <v>43111</v>
      </c>
      <c r="B29">
        <v>505</v>
      </c>
      <c r="C29">
        <v>519</v>
      </c>
      <c r="D29" s="56">
        <v>1221.47</v>
      </c>
      <c r="E29">
        <v>70</v>
      </c>
      <c r="F29" t="s">
        <v>1949</v>
      </c>
    </row>
    <row r="30" spans="1:6" x14ac:dyDescent="0.25">
      <c r="A30" s="46">
        <v>43111</v>
      </c>
      <c r="B30">
        <v>505</v>
      </c>
      <c r="C30">
        <v>519</v>
      </c>
      <c r="D30" s="56">
        <v>509</v>
      </c>
      <c r="E30">
        <v>70</v>
      </c>
      <c r="F30" t="s">
        <v>1973</v>
      </c>
    </row>
    <row r="31" spans="1:6" x14ac:dyDescent="0.25">
      <c r="A31" s="46">
        <v>43111</v>
      </c>
      <c r="B31">
        <v>505</v>
      </c>
      <c r="C31">
        <v>519</v>
      </c>
      <c r="D31" s="56">
        <v>267.73</v>
      </c>
      <c r="E31">
        <v>70</v>
      </c>
      <c r="F31" t="s">
        <v>1974</v>
      </c>
    </row>
    <row r="32" spans="1:6" x14ac:dyDescent="0.25">
      <c r="A32" s="46">
        <v>43112</v>
      </c>
      <c r="B32">
        <v>505</v>
      </c>
      <c r="C32">
        <v>519</v>
      </c>
      <c r="D32" s="56">
        <v>55163.25</v>
      </c>
      <c r="E32">
        <v>70</v>
      </c>
      <c r="F32" t="s">
        <v>1975</v>
      </c>
    </row>
    <row r="33" spans="1:6" x14ac:dyDescent="0.25">
      <c r="A33" s="46">
        <v>43112</v>
      </c>
      <c r="B33">
        <v>505</v>
      </c>
      <c r="C33">
        <v>519</v>
      </c>
      <c r="D33" s="56">
        <v>61323.07</v>
      </c>
      <c r="E33">
        <v>70</v>
      </c>
      <c r="F33" t="s">
        <v>1976</v>
      </c>
    </row>
    <row r="34" spans="1:6" x14ac:dyDescent="0.25">
      <c r="A34" s="46">
        <v>43112</v>
      </c>
      <c r="B34">
        <v>505</v>
      </c>
      <c r="C34">
        <v>519</v>
      </c>
      <c r="D34" s="56">
        <v>710.84</v>
      </c>
      <c r="E34">
        <v>70</v>
      </c>
      <c r="F34" t="s">
        <v>1977</v>
      </c>
    </row>
    <row r="35" spans="1:6" x14ac:dyDescent="0.25">
      <c r="A35" s="46">
        <v>43112</v>
      </c>
      <c r="B35">
        <v>505</v>
      </c>
      <c r="C35">
        <v>519</v>
      </c>
      <c r="D35" s="56">
        <v>336</v>
      </c>
      <c r="E35">
        <v>70</v>
      </c>
      <c r="F35" t="s">
        <v>1978</v>
      </c>
    </row>
    <row r="36" spans="1:6" x14ac:dyDescent="0.25">
      <c r="A36" s="46">
        <v>43112</v>
      </c>
      <c r="B36">
        <v>505</v>
      </c>
      <c r="C36">
        <v>519</v>
      </c>
      <c r="D36" s="56">
        <v>708.55</v>
      </c>
      <c r="E36">
        <v>70</v>
      </c>
      <c r="F36" t="s">
        <v>1979</v>
      </c>
    </row>
    <row r="37" spans="1:6" x14ac:dyDescent="0.25">
      <c r="A37" s="46">
        <v>43112</v>
      </c>
      <c r="B37">
        <v>505</v>
      </c>
      <c r="C37">
        <v>519</v>
      </c>
      <c r="D37" s="56">
        <v>130</v>
      </c>
      <c r="E37">
        <v>70</v>
      </c>
      <c r="F37" t="s">
        <v>1980</v>
      </c>
    </row>
    <row r="38" spans="1:6" x14ac:dyDescent="0.25">
      <c r="A38" s="46">
        <v>43115</v>
      </c>
      <c r="B38">
        <v>505</v>
      </c>
      <c r="C38">
        <v>519</v>
      </c>
      <c r="D38" s="56">
        <v>4069.24</v>
      </c>
      <c r="E38">
        <v>70</v>
      </c>
      <c r="F38" t="s">
        <v>1981</v>
      </c>
    </row>
    <row r="39" spans="1:6" x14ac:dyDescent="0.25">
      <c r="A39" s="46">
        <v>43115</v>
      </c>
      <c r="B39">
        <v>505</v>
      </c>
      <c r="C39">
        <v>519</v>
      </c>
      <c r="D39" s="56">
        <v>25200</v>
      </c>
      <c r="E39">
        <v>70</v>
      </c>
      <c r="F39" t="s">
        <v>1982</v>
      </c>
    </row>
    <row r="40" spans="1:6" x14ac:dyDescent="0.25">
      <c r="A40" s="46">
        <v>43115</v>
      </c>
      <c r="B40">
        <v>505</v>
      </c>
      <c r="C40">
        <v>519</v>
      </c>
      <c r="D40" s="56">
        <v>1191.57</v>
      </c>
      <c r="E40">
        <v>70</v>
      </c>
      <c r="F40" t="s">
        <v>1983</v>
      </c>
    </row>
    <row r="41" spans="1:6" x14ac:dyDescent="0.25">
      <c r="A41" s="46">
        <v>43115</v>
      </c>
      <c r="B41">
        <v>505</v>
      </c>
      <c r="C41">
        <v>519</v>
      </c>
      <c r="D41" s="56">
        <v>2221</v>
      </c>
      <c r="E41">
        <v>70</v>
      </c>
      <c r="F41" t="s">
        <v>1984</v>
      </c>
    </row>
    <row r="42" spans="1:6" x14ac:dyDescent="0.25">
      <c r="A42" s="46">
        <v>43115</v>
      </c>
      <c r="B42">
        <v>505</v>
      </c>
      <c r="C42">
        <v>519</v>
      </c>
      <c r="D42" s="56">
        <v>1090</v>
      </c>
      <c r="E42">
        <v>70</v>
      </c>
      <c r="F42" t="s">
        <v>1985</v>
      </c>
    </row>
    <row r="43" spans="1:6" x14ac:dyDescent="0.25">
      <c r="A43" s="46">
        <v>43115</v>
      </c>
      <c r="B43">
        <v>505</v>
      </c>
      <c r="C43">
        <v>519</v>
      </c>
      <c r="D43" s="56">
        <v>805.18</v>
      </c>
      <c r="E43">
        <v>70</v>
      </c>
      <c r="F43" t="s">
        <v>1986</v>
      </c>
    </row>
    <row r="44" spans="1:6" x14ac:dyDescent="0.25">
      <c r="A44" s="46">
        <v>43115</v>
      </c>
      <c r="B44">
        <v>505</v>
      </c>
      <c r="C44">
        <v>519</v>
      </c>
      <c r="D44" s="56">
        <v>574.92999999999995</v>
      </c>
      <c r="E44">
        <v>70</v>
      </c>
      <c r="F44" t="s">
        <v>1987</v>
      </c>
    </row>
    <row r="45" spans="1:6" x14ac:dyDescent="0.25">
      <c r="A45" s="46">
        <v>43116</v>
      </c>
      <c r="B45">
        <v>505</v>
      </c>
      <c r="C45">
        <v>519</v>
      </c>
      <c r="D45" s="56">
        <v>1740</v>
      </c>
      <c r="E45">
        <v>70</v>
      </c>
      <c r="F45" t="s">
        <v>1988</v>
      </c>
    </row>
    <row r="46" spans="1:6" x14ac:dyDescent="0.25">
      <c r="A46" s="46">
        <v>43117</v>
      </c>
      <c r="B46">
        <v>505</v>
      </c>
      <c r="C46">
        <v>519</v>
      </c>
      <c r="D46" s="56">
        <v>1078.6500000000001</v>
      </c>
      <c r="E46">
        <v>70</v>
      </c>
      <c r="F46" t="s">
        <v>1989</v>
      </c>
    </row>
    <row r="47" spans="1:6" x14ac:dyDescent="0.25">
      <c r="A47" s="46">
        <v>43117</v>
      </c>
      <c r="B47">
        <v>505</v>
      </c>
      <c r="C47">
        <v>519</v>
      </c>
      <c r="D47" s="56">
        <v>5033.3599999999997</v>
      </c>
      <c r="E47">
        <v>70</v>
      </c>
      <c r="F47" t="s">
        <v>1990</v>
      </c>
    </row>
    <row r="48" spans="1:6" x14ac:dyDescent="0.25">
      <c r="A48" s="46">
        <v>43117</v>
      </c>
      <c r="B48">
        <v>505</v>
      </c>
      <c r="C48">
        <v>519</v>
      </c>
      <c r="D48" s="56">
        <v>481.4</v>
      </c>
      <c r="E48">
        <v>70</v>
      </c>
      <c r="F48" t="s">
        <v>1991</v>
      </c>
    </row>
    <row r="49" spans="1:6" x14ac:dyDescent="0.25">
      <c r="A49" s="46">
        <v>43118</v>
      </c>
      <c r="B49">
        <v>505</v>
      </c>
      <c r="C49">
        <v>519</v>
      </c>
      <c r="D49" s="56">
        <v>740</v>
      </c>
      <c r="E49">
        <v>70</v>
      </c>
      <c r="F49" t="s">
        <v>1992</v>
      </c>
    </row>
    <row r="50" spans="1:6" x14ac:dyDescent="0.25">
      <c r="A50" s="46">
        <v>43118</v>
      </c>
      <c r="B50">
        <v>505</v>
      </c>
      <c r="C50">
        <v>519</v>
      </c>
      <c r="D50" s="56">
        <v>2236.06</v>
      </c>
      <c r="E50">
        <v>70</v>
      </c>
      <c r="F50" t="s">
        <v>1993</v>
      </c>
    </row>
    <row r="51" spans="1:6" x14ac:dyDescent="0.25">
      <c r="A51" s="46">
        <v>43118</v>
      </c>
      <c r="B51">
        <v>505</v>
      </c>
      <c r="C51">
        <v>519</v>
      </c>
      <c r="D51" s="56">
        <v>509</v>
      </c>
      <c r="E51">
        <v>70</v>
      </c>
      <c r="F51" t="s">
        <v>1973</v>
      </c>
    </row>
    <row r="52" spans="1:6" x14ac:dyDescent="0.25">
      <c r="A52" s="46">
        <v>43119</v>
      </c>
      <c r="B52">
        <v>505</v>
      </c>
      <c r="C52">
        <v>519</v>
      </c>
      <c r="D52" s="56">
        <v>966.1</v>
      </c>
      <c r="E52">
        <v>70</v>
      </c>
      <c r="F52" t="s">
        <v>1994</v>
      </c>
    </row>
    <row r="53" spans="1:6" x14ac:dyDescent="0.25">
      <c r="A53" s="46">
        <v>43119</v>
      </c>
      <c r="B53">
        <v>505</v>
      </c>
      <c r="C53">
        <v>519</v>
      </c>
      <c r="D53" s="56">
        <v>1367.44</v>
      </c>
      <c r="E53">
        <v>70</v>
      </c>
      <c r="F53" t="s">
        <v>1995</v>
      </c>
    </row>
    <row r="54" spans="1:6" x14ac:dyDescent="0.25">
      <c r="A54" s="46">
        <v>43119</v>
      </c>
      <c r="B54">
        <v>505</v>
      </c>
      <c r="C54">
        <v>519</v>
      </c>
      <c r="D54" s="56">
        <v>658</v>
      </c>
      <c r="E54">
        <v>70</v>
      </c>
      <c r="F54" t="s">
        <v>1996</v>
      </c>
    </row>
    <row r="55" spans="1:6" x14ac:dyDescent="0.25">
      <c r="A55" s="46">
        <v>43119</v>
      </c>
      <c r="B55">
        <v>505</v>
      </c>
      <c r="C55">
        <v>519</v>
      </c>
      <c r="D55" s="56">
        <v>708.55</v>
      </c>
      <c r="E55">
        <v>70</v>
      </c>
      <c r="F55" t="s">
        <v>1979</v>
      </c>
    </row>
    <row r="56" spans="1:6" x14ac:dyDescent="0.25">
      <c r="A56" s="46">
        <v>43119</v>
      </c>
      <c r="B56">
        <v>505</v>
      </c>
      <c r="C56">
        <v>519</v>
      </c>
      <c r="D56" s="56">
        <v>335.78</v>
      </c>
      <c r="E56">
        <v>70</v>
      </c>
      <c r="F56" t="s">
        <v>1997</v>
      </c>
    </row>
    <row r="57" spans="1:6" x14ac:dyDescent="0.25">
      <c r="A57" s="46">
        <v>43122</v>
      </c>
      <c r="B57">
        <v>505</v>
      </c>
      <c r="C57">
        <v>519</v>
      </c>
      <c r="D57" s="56">
        <v>2597</v>
      </c>
      <c r="E57">
        <v>70</v>
      </c>
      <c r="F57" t="s">
        <v>1998</v>
      </c>
    </row>
    <row r="58" spans="1:6" x14ac:dyDescent="0.25">
      <c r="A58" s="46">
        <v>43122</v>
      </c>
      <c r="B58">
        <v>505</v>
      </c>
      <c r="C58">
        <v>519</v>
      </c>
      <c r="D58" s="56">
        <v>4900.7</v>
      </c>
      <c r="E58">
        <v>70</v>
      </c>
      <c r="F58" t="s">
        <v>1999</v>
      </c>
    </row>
    <row r="59" spans="1:6" x14ac:dyDescent="0.25">
      <c r="A59" s="46">
        <v>43122</v>
      </c>
      <c r="B59">
        <v>505</v>
      </c>
      <c r="C59">
        <v>519</v>
      </c>
      <c r="D59" s="56">
        <v>1221.47</v>
      </c>
      <c r="E59">
        <v>70</v>
      </c>
      <c r="F59" t="s">
        <v>1949</v>
      </c>
    </row>
    <row r="60" spans="1:6" x14ac:dyDescent="0.25">
      <c r="A60" s="46">
        <v>43122</v>
      </c>
      <c r="B60">
        <v>505</v>
      </c>
      <c r="C60">
        <v>519</v>
      </c>
      <c r="D60" s="56">
        <v>252.64</v>
      </c>
      <c r="E60">
        <v>70</v>
      </c>
      <c r="F60" t="s">
        <v>2000</v>
      </c>
    </row>
    <row r="61" spans="1:6" x14ac:dyDescent="0.25">
      <c r="A61" s="46">
        <v>43120</v>
      </c>
      <c r="B61">
        <v>505</v>
      </c>
      <c r="C61">
        <v>519</v>
      </c>
      <c r="D61" s="56">
        <v>2220.4899999999998</v>
      </c>
      <c r="E61">
        <v>70</v>
      </c>
      <c r="F61" t="s">
        <v>2001</v>
      </c>
    </row>
    <row r="62" spans="1:6" x14ac:dyDescent="0.25">
      <c r="A62" s="46">
        <v>43123</v>
      </c>
      <c r="B62">
        <v>505</v>
      </c>
      <c r="C62">
        <v>519</v>
      </c>
      <c r="D62" s="56">
        <v>574.92999999999995</v>
      </c>
      <c r="E62">
        <v>70</v>
      </c>
      <c r="F62" t="s">
        <v>1987</v>
      </c>
    </row>
    <row r="63" spans="1:6" x14ac:dyDescent="0.25">
      <c r="A63" s="46">
        <v>43123</v>
      </c>
      <c r="B63">
        <v>505</v>
      </c>
      <c r="C63">
        <v>519</v>
      </c>
      <c r="D63" s="56">
        <v>1722.97</v>
      </c>
      <c r="E63">
        <v>70</v>
      </c>
      <c r="F63" t="s">
        <v>2002</v>
      </c>
    </row>
    <row r="64" spans="1:6" x14ac:dyDescent="0.25">
      <c r="A64" s="46">
        <v>43123</v>
      </c>
      <c r="B64">
        <v>505</v>
      </c>
      <c r="C64">
        <v>519</v>
      </c>
      <c r="D64" s="56">
        <v>245</v>
      </c>
      <c r="E64">
        <v>70</v>
      </c>
      <c r="F64" t="s">
        <v>2003</v>
      </c>
    </row>
    <row r="65" spans="1:6" x14ac:dyDescent="0.25">
      <c r="A65" s="46">
        <v>43124</v>
      </c>
      <c r="B65">
        <v>505</v>
      </c>
      <c r="C65">
        <v>519</v>
      </c>
      <c r="D65" s="56">
        <v>476</v>
      </c>
      <c r="E65">
        <v>70</v>
      </c>
      <c r="F65" t="s">
        <v>2004</v>
      </c>
    </row>
    <row r="66" spans="1:6" x14ac:dyDescent="0.25">
      <c r="A66" s="46">
        <v>43124</v>
      </c>
      <c r="B66">
        <v>505</v>
      </c>
      <c r="C66">
        <v>519</v>
      </c>
      <c r="D66" s="56">
        <v>481.39</v>
      </c>
      <c r="E66">
        <v>70</v>
      </c>
      <c r="F66" t="s">
        <v>1991</v>
      </c>
    </row>
    <row r="67" spans="1:6" x14ac:dyDescent="0.25">
      <c r="A67" s="46">
        <v>43124</v>
      </c>
      <c r="B67">
        <v>505</v>
      </c>
      <c r="C67">
        <v>519</v>
      </c>
      <c r="D67" s="56">
        <v>294</v>
      </c>
      <c r="E67">
        <v>70</v>
      </c>
      <c r="F67" t="s">
        <v>2005</v>
      </c>
    </row>
    <row r="68" spans="1:6" x14ac:dyDescent="0.25">
      <c r="A68" s="46">
        <v>43125</v>
      </c>
      <c r="B68">
        <v>505</v>
      </c>
      <c r="C68">
        <v>519</v>
      </c>
      <c r="D68" s="56">
        <v>878.5</v>
      </c>
      <c r="E68">
        <v>70</v>
      </c>
      <c r="F68" t="s">
        <v>2006</v>
      </c>
    </row>
    <row r="69" spans="1:6" x14ac:dyDescent="0.25">
      <c r="A69" s="46">
        <v>43126</v>
      </c>
      <c r="B69">
        <v>505</v>
      </c>
      <c r="C69">
        <v>519</v>
      </c>
      <c r="D69" s="56">
        <v>708.55</v>
      </c>
      <c r="E69">
        <v>70</v>
      </c>
      <c r="F69" t="s">
        <v>1979</v>
      </c>
    </row>
    <row r="70" spans="1:6" x14ac:dyDescent="0.25">
      <c r="A70" s="46">
        <v>43126</v>
      </c>
      <c r="B70">
        <v>505</v>
      </c>
      <c r="C70">
        <v>519</v>
      </c>
      <c r="D70" s="56">
        <v>3658.92</v>
      </c>
      <c r="E70">
        <v>70</v>
      </c>
      <c r="F70" t="s">
        <v>2007</v>
      </c>
    </row>
    <row r="71" spans="1:6" x14ac:dyDescent="0.25">
      <c r="A71" s="46">
        <v>43126</v>
      </c>
      <c r="B71">
        <v>505</v>
      </c>
      <c r="C71">
        <v>519</v>
      </c>
      <c r="D71" s="56">
        <v>284.39999999999998</v>
      </c>
      <c r="E71">
        <v>70</v>
      </c>
      <c r="F71" t="s">
        <v>2008</v>
      </c>
    </row>
    <row r="72" spans="1:6" x14ac:dyDescent="0.25">
      <c r="A72" s="46">
        <v>43129</v>
      </c>
      <c r="B72">
        <v>505</v>
      </c>
      <c r="C72">
        <v>519</v>
      </c>
      <c r="D72" s="56">
        <v>6136.62</v>
      </c>
      <c r="E72">
        <v>70</v>
      </c>
      <c r="F72" t="s">
        <v>2009</v>
      </c>
    </row>
    <row r="73" spans="1:6" x14ac:dyDescent="0.25">
      <c r="A73" s="46">
        <v>43129</v>
      </c>
      <c r="B73">
        <v>505</v>
      </c>
      <c r="C73">
        <v>519</v>
      </c>
      <c r="D73" s="56">
        <v>10899.77</v>
      </c>
      <c r="E73">
        <v>70</v>
      </c>
      <c r="F73" t="s">
        <v>2010</v>
      </c>
    </row>
    <row r="74" spans="1:6" x14ac:dyDescent="0.25">
      <c r="A74" s="46">
        <v>43129</v>
      </c>
      <c r="B74">
        <v>505</v>
      </c>
      <c r="C74">
        <v>519</v>
      </c>
      <c r="D74" s="56">
        <v>5399.86</v>
      </c>
      <c r="E74">
        <v>70</v>
      </c>
      <c r="F74" t="s">
        <v>2011</v>
      </c>
    </row>
    <row r="75" spans="1:6" x14ac:dyDescent="0.25">
      <c r="A75" s="46">
        <v>43129</v>
      </c>
      <c r="B75">
        <v>505</v>
      </c>
      <c r="C75">
        <v>519</v>
      </c>
      <c r="D75" s="56">
        <v>1013.42</v>
      </c>
      <c r="E75">
        <v>70</v>
      </c>
      <c r="F75" t="s">
        <v>2012</v>
      </c>
    </row>
    <row r="76" spans="1:6" x14ac:dyDescent="0.25">
      <c r="A76" s="46">
        <v>43129</v>
      </c>
      <c r="B76">
        <v>505</v>
      </c>
      <c r="C76">
        <v>519</v>
      </c>
      <c r="D76" s="56">
        <v>1090</v>
      </c>
      <c r="E76">
        <v>70</v>
      </c>
      <c r="F76" t="s">
        <v>1985</v>
      </c>
    </row>
    <row r="77" spans="1:6" x14ac:dyDescent="0.25">
      <c r="A77" s="46">
        <v>43129</v>
      </c>
      <c r="B77">
        <v>505</v>
      </c>
      <c r="C77">
        <v>519</v>
      </c>
      <c r="D77" s="56">
        <v>805.18</v>
      </c>
      <c r="E77">
        <v>70</v>
      </c>
      <c r="F77" t="s">
        <v>1986</v>
      </c>
    </row>
    <row r="78" spans="1:6" x14ac:dyDescent="0.25">
      <c r="A78" s="46">
        <v>43130</v>
      </c>
      <c r="B78">
        <v>505</v>
      </c>
      <c r="C78">
        <v>519</v>
      </c>
      <c r="D78" s="56">
        <v>340.48</v>
      </c>
      <c r="E78">
        <v>70</v>
      </c>
      <c r="F78" t="s">
        <v>2013</v>
      </c>
    </row>
    <row r="79" spans="1:6" x14ac:dyDescent="0.25">
      <c r="A79" s="46">
        <v>43131</v>
      </c>
      <c r="B79">
        <v>505</v>
      </c>
      <c r="C79">
        <v>519</v>
      </c>
      <c r="D79" s="56">
        <v>745</v>
      </c>
      <c r="E79">
        <v>70</v>
      </c>
      <c r="F79" t="s">
        <v>2014</v>
      </c>
    </row>
    <row r="80" spans="1:6" x14ac:dyDescent="0.25">
      <c r="A80" s="46">
        <v>43131</v>
      </c>
      <c r="B80">
        <v>505</v>
      </c>
      <c r="C80">
        <v>519</v>
      </c>
      <c r="D80" s="56">
        <v>352.08</v>
      </c>
      <c r="E80">
        <v>70</v>
      </c>
      <c r="F80" t="s">
        <v>2015</v>
      </c>
    </row>
    <row r="81" spans="1:6" x14ac:dyDescent="0.25">
      <c r="A81" s="46">
        <v>43131</v>
      </c>
      <c r="B81">
        <v>505</v>
      </c>
      <c r="C81">
        <v>519</v>
      </c>
      <c r="D81" s="56">
        <v>407.23</v>
      </c>
      <c r="E81">
        <v>70</v>
      </c>
      <c r="F81" t="s">
        <v>2016</v>
      </c>
    </row>
    <row r="82" spans="1:6" x14ac:dyDescent="0.25">
      <c r="A82" s="46">
        <v>43131</v>
      </c>
      <c r="B82">
        <v>505</v>
      </c>
      <c r="C82">
        <v>519</v>
      </c>
      <c r="D82" s="56">
        <v>29.52</v>
      </c>
      <c r="E82">
        <v>70</v>
      </c>
      <c r="F82" t="s">
        <v>2017</v>
      </c>
    </row>
    <row r="83" spans="1:6" x14ac:dyDescent="0.25">
      <c r="A83" s="46">
        <v>43102</v>
      </c>
      <c r="B83">
        <v>688</v>
      </c>
      <c r="C83">
        <v>519</v>
      </c>
      <c r="D83" s="56">
        <v>1323.41</v>
      </c>
      <c r="E83">
        <v>70</v>
      </c>
      <c r="F83" t="s">
        <v>2018</v>
      </c>
    </row>
    <row r="84" spans="1:6" x14ac:dyDescent="0.25">
      <c r="A84" s="46">
        <v>43102</v>
      </c>
      <c r="B84">
        <v>688</v>
      </c>
      <c r="C84">
        <v>519</v>
      </c>
      <c r="D84" s="56">
        <v>516.03</v>
      </c>
      <c r="E84">
        <v>70</v>
      </c>
      <c r="F84" t="s">
        <v>2019</v>
      </c>
    </row>
    <row r="85" spans="1:6" x14ac:dyDescent="0.25">
      <c r="A85" s="46">
        <v>43102</v>
      </c>
      <c r="B85">
        <v>688</v>
      </c>
      <c r="C85">
        <v>519</v>
      </c>
      <c r="D85" s="56">
        <v>97.67</v>
      </c>
      <c r="E85">
        <v>70</v>
      </c>
      <c r="F85" t="s">
        <v>2020</v>
      </c>
    </row>
    <row r="86" spans="1:6" x14ac:dyDescent="0.25">
      <c r="A86" s="46">
        <v>43110</v>
      </c>
      <c r="B86">
        <v>688</v>
      </c>
      <c r="C86">
        <v>519</v>
      </c>
      <c r="D86" s="56">
        <v>96.11</v>
      </c>
      <c r="E86">
        <v>70</v>
      </c>
      <c r="F86" t="s">
        <v>2021</v>
      </c>
    </row>
    <row r="87" spans="1:6" x14ac:dyDescent="0.25">
      <c r="A87" s="46">
        <v>43115</v>
      </c>
      <c r="B87">
        <v>688</v>
      </c>
      <c r="C87">
        <v>519</v>
      </c>
      <c r="D87" s="56">
        <v>1041.78</v>
      </c>
      <c r="E87">
        <v>70</v>
      </c>
      <c r="F87" t="s">
        <v>2022</v>
      </c>
    </row>
    <row r="88" spans="1:6" x14ac:dyDescent="0.25">
      <c r="A88" s="46">
        <v>43119</v>
      </c>
      <c r="B88">
        <v>688</v>
      </c>
      <c r="C88">
        <v>519</v>
      </c>
      <c r="D88" s="56">
        <v>260.02</v>
      </c>
      <c r="E88">
        <v>70</v>
      </c>
      <c r="F88" t="s">
        <v>2023</v>
      </c>
    </row>
    <row r="89" spans="1:6" x14ac:dyDescent="0.25">
      <c r="A89" s="46">
        <v>43130</v>
      </c>
      <c r="B89">
        <v>688</v>
      </c>
      <c r="C89">
        <v>519</v>
      </c>
      <c r="D89" s="56">
        <v>368.46</v>
      </c>
      <c r="E89">
        <v>70</v>
      </c>
      <c r="F89" t="s">
        <v>2024</v>
      </c>
    </row>
    <row r="90" spans="1:6" x14ac:dyDescent="0.25">
      <c r="A90" s="46">
        <v>43131</v>
      </c>
      <c r="B90">
        <v>688</v>
      </c>
      <c r="C90">
        <v>519</v>
      </c>
      <c r="D90" s="56">
        <v>792.13</v>
      </c>
      <c r="E90">
        <v>70</v>
      </c>
      <c r="F90" t="s">
        <v>2025</v>
      </c>
    </row>
    <row r="91" spans="1:6" x14ac:dyDescent="0.25">
      <c r="A91" s="46">
        <v>43132</v>
      </c>
      <c r="B91">
        <v>505</v>
      </c>
      <c r="C91">
        <v>519</v>
      </c>
      <c r="D91" s="56">
        <v>1020.04</v>
      </c>
      <c r="E91">
        <v>70</v>
      </c>
      <c r="F91" t="s">
        <v>2026</v>
      </c>
    </row>
    <row r="92" spans="1:6" x14ac:dyDescent="0.25">
      <c r="A92" s="46">
        <v>43132</v>
      </c>
      <c r="B92">
        <v>505</v>
      </c>
      <c r="C92">
        <v>519</v>
      </c>
      <c r="D92" s="56">
        <v>901</v>
      </c>
      <c r="E92">
        <v>70</v>
      </c>
      <c r="F92" t="s">
        <v>2027</v>
      </c>
    </row>
    <row r="93" spans="1:6" x14ac:dyDescent="0.25">
      <c r="A93" s="46">
        <v>43133</v>
      </c>
      <c r="B93">
        <v>505</v>
      </c>
      <c r="C93">
        <v>519</v>
      </c>
      <c r="D93" s="56">
        <v>574.92999999999995</v>
      </c>
      <c r="E93">
        <v>70</v>
      </c>
      <c r="F93" t="s">
        <v>1987</v>
      </c>
    </row>
    <row r="94" spans="1:6" x14ac:dyDescent="0.25">
      <c r="A94" s="46">
        <v>43136</v>
      </c>
      <c r="B94">
        <v>505</v>
      </c>
      <c r="C94">
        <v>519</v>
      </c>
      <c r="D94" s="56">
        <v>9581.7099999999991</v>
      </c>
      <c r="E94">
        <v>70</v>
      </c>
      <c r="F94" t="s">
        <v>2028</v>
      </c>
    </row>
    <row r="95" spans="1:6" x14ac:dyDescent="0.25">
      <c r="A95" s="46">
        <v>43136</v>
      </c>
      <c r="B95">
        <v>505</v>
      </c>
      <c r="C95">
        <v>519</v>
      </c>
      <c r="D95" s="56">
        <v>1288</v>
      </c>
      <c r="E95">
        <v>70</v>
      </c>
      <c r="F95" t="s">
        <v>2029</v>
      </c>
    </row>
    <row r="96" spans="1:6" x14ac:dyDescent="0.25">
      <c r="A96" s="46">
        <v>43136</v>
      </c>
      <c r="B96">
        <v>505</v>
      </c>
      <c r="C96">
        <v>519</v>
      </c>
      <c r="D96" s="56">
        <v>888</v>
      </c>
      <c r="E96">
        <v>70</v>
      </c>
      <c r="F96" t="s">
        <v>2030</v>
      </c>
    </row>
    <row r="97" spans="1:6" x14ac:dyDescent="0.25">
      <c r="A97" s="46">
        <v>43137</v>
      </c>
      <c r="B97">
        <v>505</v>
      </c>
      <c r="C97">
        <v>519</v>
      </c>
      <c r="D97" s="56">
        <v>1286.94</v>
      </c>
      <c r="E97">
        <v>70</v>
      </c>
      <c r="F97" t="s">
        <v>2031</v>
      </c>
    </row>
    <row r="98" spans="1:6" x14ac:dyDescent="0.25">
      <c r="A98" s="46">
        <v>43145</v>
      </c>
      <c r="B98">
        <v>505</v>
      </c>
      <c r="C98">
        <v>519</v>
      </c>
      <c r="D98" s="56">
        <v>1191.57</v>
      </c>
      <c r="E98">
        <v>70</v>
      </c>
      <c r="F98" t="s">
        <v>2032</v>
      </c>
    </row>
    <row r="99" spans="1:6" x14ac:dyDescent="0.25">
      <c r="A99" s="46">
        <v>43137</v>
      </c>
      <c r="B99">
        <v>505</v>
      </c>
      <c r="C99">
        <v>519</v>
      </c>
      <c r="D99" s="56">
        <v>476</v>
      </c>
      <c r="E99">
        <v>70</v>
      </c>
      <c r="F99" t="s">
        <v>2033</v>
      </c>
    </row>
    <row r="100" spans="1:6" x14ac:dyDescent="0.25">
      <c r="A100" s="46">
        <v>43137</v>
      </c>
      <c r="B100">
        <v>505</v>
      </c>
      <c r="C100">
        <v>519</v>
      </c>
      <c r="D100" s="56">
        <v>674</v>
      </c>
      <c r="E100">
        <v>70</v>
      </c>
      <c r="F100" t="s">
        <v>2034</v>
      </c>
    </row>
    <row r="101" spans="1:6" x14ac:dyDescent="0.25">
      <c r="A101" s="46">
        <v>43138</v>
      </c>
      <c r="B101">
        <v>505</v>
      </c>
      <c r="C101">
        <v>519</v>
      </c>
      <c r="D101" s="56">
        <v>407.24</v>
      </c>
      <c r="E101">
        <v>70</v>
      </c>
      <c r="F101" t="s">
        <v>2016</v>
      </c>
    </row>
    <row r="102" spans="1:6" x14ac:dyDescent="0.25">
      <c r="A102" s="46">
        <v>43138</v>
      </c>
      <c r="B102">
        <v>505</v>
      </c>
      <c r="C102">
        <v>519</v>
      </c>
      <c r="D102" s="56">
        <v>308.2</v>
      </c>
      <c r="E102">
        <v>70</v>
      </c>
      <c r="F102" t="s">
        <v>2035</v>
      </c>
    </row>
    <row r="103" spans="1:6" x14ac:dyDescent="0.25">
      <c r="A103" s="46">
        <v>43139</v>
      </c>
      <c r="B103">
        <v>505</v>
      </c>
      <c r="C103">
        <v>519</v>
      </c>
      <c r="D103" s="56">
        <v>1300.82</v>
      </c>
      <c r="E103">
        <v>70</v>
      </c>
      <c r="F103" t="s">
        <v>2036</v>
      </c>
    </row>
    <row r="104" spans="1:6" x14ac:dyDescent="0.25">
      <c r="A104" s="46">
        <v>43139</v>
      </c>
      <c r="B104">
        <v>505</v>
      </c>
      <c r="C104">
        <v>519</v>
      </c>
      <c r="D104" s="56">
        <v>1062.8399999999999</v>
      </c>
      <c r="E104">
        <v>70</v>
      </c>
      <c r="F104" t="s">
        <v>2037</v>
      </c>
    </row>
    <row r="105" spans="1:6" x14ac:dyDescent="0.25">
      <c r="A105" s="46">
        <v>43139</v>
      </c>
      <c r="B105">
        <v>505</v>
      </c>
      <c r="C105">
        <v>519</v>
      </c>
      <c r="D105" s="56">
        <v>313.32</v>
      </c>
      <c r="E105">
        <v>70</v>
      </c>
      <c r="F105" t="s">
        <v>2038</v>
      </c>
    </row>
    <row r="106" spans="1:6" x14ac:dyDescent="0.25">
      <c r="A106" s="46">
        <v>43139</v>
      </c>
      <c r="B106">
        <v>505</v>
      </c>
      <c r="C106">
        <v>519</v>
      </c>
      <c r="D106" s="56">
        <v>577.91999999999996</v>
      </c>
      <c r="E106">
        <v>70</v>
      </c>
      <c r="F106" t="s">
        <v>2039</v>
      </c>
    </row>
    <row r="107" spans="1:6" x14ac:dyDescent="0.25">
      <c r="A107" s="46">
        <v>43145</v>
      </c>
      <c r="B107">
        <v>505</v>
      </c>
      <c r="C107">
        <v>519</v>
      </c>
      <c r="D107" s="56">
        <v>4440.38</v>
      </c>
      <c r="E107">
        <v>70</v>
      </c>
      <c r="F107" t="s">
        <v>2040</v>
      </c>
    </row>
    <row r="108" spans="1:6" x14ac:dyDescent="0.25">
      <c r="A108" s="46">
        <v>43145</v>
      </c>
      <c r="B108">
        <v>505</v>
      </c>
      <c r="C108">
        <v>519</v>
      </c>
      <c r="D108" s="56">
        <v>25200</v>
      </c>
      <c r="E108">
        <v>70</v>
      </c>
      <c r="F108" t="s">
        <v>1982</v>
      </c>
    </row>
    <row r="109" spans="1:6" x14ac:dyDescent="0.25">
      <c r="A109" s="46">
        <v>43145</v>
      </c>
      <c r="B109">
        <v>505</v>
      </c>
      <c r="C109">
        <v>519</v>
      </c>
      <c r="D109" s="56">
        <v>4069.24</v>
      </c>
      <c r="E109">
        <v>70</v>
      </c>
      <c r="F109" t="s">
        <v>1981</v>
      </c>
    </row>
    <row r="110" spans="1:6" x14ac:dyDescent="0.25">
      <c r="A110" s="46">
        <v>43145</v>
      </c>
      <c r="B110">
        <v>505</v>
      </c>
      <c r="C110">
        <v>519</v>
      </c>
      <c r="D110" s="56">
        <v>3081.59</v>
      </c>
      <c r="E110">
        <v>70</v>
      </c>
      <c r="F110" t="s">
        <v>2041</v>
      </c>
    </row>
    <row r="111" spans="1:6" x14ac:dyDescent="0.25">
      <c r="A111" s="46">
        <v>43145</v>
      </c>
      <c r="B111">
        <v>505</v>
      </c>
      <c r="C111">
        <v>519</v>
      </c>
      <c r="D111" s="56">
        <v>3369.09</v>
      </c>
      <c r="E111">
        <v>70</v>
      </c>
      <c r="F111" t="s">
        <v>2042</v>
      </c>
    </row>
    <row r="112" spans="1:6" x14ac:dyDescent="0.25">
      <c r="A112" s="46">
        <v>43145</v>
      </c>
      <c r="B112">
        <v>505</v>
      </c>
      <c r="C112">
        <v>519</v>
      </c>
      <c r="D112" s="56">
        <v>1101.57</v>
      </c>
      <c r="E112">
        <v>70</v>
      </c>
      <c r="F112" t="s">
        <v>2043</v>
      </c>
    </row>
    <row r="113" spans="1:6" x14ac:dyDescent="0.25">
      <c r="A113" s="46">
        <v>43145</v>
      </c>
      <c r="B113">
        <v>505</v>
      </c>
      <c r="C113">
        <v>519</v>
      </c>
      <c r="D113" s="56">
        <v>805.18</v>
      </c>
      <c r="E113">
        <v>70</v>
      </c>
      <c r="F113" t="s">
        <v>1986</v>
      </c>
    </row>
    <row r="114" spans="1:6" x14ac:dyDescent="0.25">
      <c r="A114" s="46">
        <v>43145</v>
      </c>
      <c r="B114">
        <v>505</v>
      </c>
      <c r="C114">
        <v>519</v>
      </c>
      <c r="D114" s="56">
        <v>710.84</v>
      </c>
      <c r="E114">
        <v>70</v>
      </c>
      <c r="F114" t="s">
        <v>1977</v>
      </c>
    </row>
    <row r="115" spans="1:6" x14ac:dyDescent="0.25">
      <c r="A115" s="46">
        <v>43145</v>
      </c>
      <c r="B115">
        <v>505</v>
      </c>
      <c r="C115">
        <v>519</v>
      </c>
      <c r="D115" s="56">
        <v>260</v>
      </c>
      <c r="E115">
        <v>70</v>
      </c>
      <c r="F115" t="s">
        <v>2044</v>
      </c>
    </row>
    <row r="116" spans="1:6" x14ac:dyDescent="0.25">
      <c r="A116" s="46">
        <v>43141</v>
      </c>
      <c r="B116">
        <v>505</v>
      </c>
      <c r="C116">
        <v>519</v>
      </c>
      <c r="D116" s="56">
        <v>1136.9000000000001</v>
      </c>
      <c r="E116">
        <v>70</v>
      </c>
      <c r="F116" t="s">
        <v>2045</v>
      </c>
    </row>
    <row r="117" spans="1:6" x14ac:dyDescent="0.25">
      <c r="A117" s="46">
        <v>43141</v>
      </c>
      <c r="B117">
        <v>505</v>
      </c>
      <c r="C117">
        <v>519</v>
      </c>
      <c r="D117" s="56">
        <v>742</v>
      </c>
      <c r="E117">
        <v>70</v>
      </c>
      <c r="F117" t="s">
        <v>2046</v>
      </c>
    </row>
    <row r="118" spans="1:6" x14ac:dyDescent="0.25">
      <c r="A118" s="46">
        <v>43147</v>
      </c>
      <c r="B118">
        <v>505</v>
      </c>
      <c r="C118">
        <v>519</v>
      </c>
      <c r="D118" s="56">
        <v>525</v>
      </c>
      <c r="E118">
        <v>70</v>
      </c>
      <c r="F118" t="s">
        <v>2047</v>
      </c>
    </row>
    <row r="119" spans="1:6" x14ac:dyDescent="0.25">
      <c r="A119" s="46">
        <v>43147</v>
      </c>
      <c r="B119">
        <v>505</v>
      </c>
      <c r="C119">
        <v>519</v>
      </c>
      <c r="D119" s="56">
        <v>1547</v>
      </c>
      <c r="E119">
        <v>70</v>
      </c>
      <c r="F119" t="s">
        <v>2048</v>
      </c>
    </row>
    <row r="120" spans="1:6" x14ac:dyDescent="0.25">
      <c r="A120" s="46">
        <v>43150</v>
      </c>
      <c r="B120">
        <v>505</v>
      </c>
      <c r="C120">
        <v>519</v>
      </c>
      <c r="D120" s="56">
        <v>4585.68</v>
      </c>
      <c r="E120">
        <v>70</v>
      </c>
      <c r="F120" t="s">
        <v>2049</v>
      </c>
    </row>
    <row r="121" spans="1:6" x14ac:dyDescent="0.25">
      <c r="A121" s="46">
        <v>43150</v>
      </c>
      <c r="B121">
        <v>505</v>
      </c>
      <c r="C121">
        <v>519</v>
      </c>
      <c r="D121" s="56">
        <v>4790.8500000000004</v>
      </c>
      <c r="E121">
        <v>70</v>
      </c>
      <c r="F121" t="s">
        <v>2050</v>
      </c>
    </row>
    <row r="122" spans="1:6" x14ac:dyDescent="0.25">
      <c r="A122" s="46">
        <v>43150</v>
      </c>
      <c r="B122">
        <v>505</v>
      </c>
      <c r="C122">
        <v>519</v>
      </c>
      <c r="D122" s="56">
        <v>2995.01</v>
      </c>
      <c r="E122">
        <v>70</v>
      </c>
      <c r="F122" t="s">
        <v>2051</v>
      </c>
    </row>
    <row r="123" spans="1:6" x14ac:dyDescent="0.25">
      <c r="A123" s="46">
        <v>43150</v>
      </c>
      <c r="B123">
        <v>505</v>
      </c>
      <c r="C123">
        <v>519</v>
      </c>
      <c r="D123" s="56">
        <v>487.04</v>
      </c>
      <c r="E123">
        <v>70</v>
      </c>
      <c r="F123" t="s">
        <v>2052</v>
      </c>
    </row>
    <row r="124" spans="1:6" x14ac:dyDescent="0.25">
      <c r="A124" s="46">
        <v>43150</v>
      </c>
      <c r="B124">
        <v>505</v>
      </c>
      <c r="C124">
        <v>519</v>
      </c>
      <c r="D124" s="56">
        <v>567.73</v>
      </c>
      <c r="E124">
        <v>70</v>
      </c>
      <c r="F124" t="s">
        <v>2053</v>
      </c>
    </row>
    <row r="125" spans="1:6" x14ac:dyDescent="0.25">
      <c r="A125" s="46">
        <v>43150</v>
      </c>
      <c r="B125">
        <v>505</v>
      </c>
      <c r="C125">
        <v>519</v>
      </c>
      <c r="D125" s="56">
        <v>481.6</v>
      </c>
      <c r="E125">
        <v>70</v>
      </c>
      <c r="F125" t="s">
        <v>2054</v>
      </c>
    </row>
    <row r="126" spans="1:6" x14ac:dyDescent="0.25">
      <c r="A126" s="46">
        <v>43150</v>
      </c>
      <c r="B126">
        <v>505</v>
      </c>
      <c r="C126">
        <v>519</v>
      </c>
      <c r="D126" s="56">
        <v>143</v>
      </c>
      <c r="E126">
        <v>70</v>
      </c>
      <c r="F126" t="s">
        <v>2055</v>
      </c>
    </row>
    <row r="127" spans="1:6" x14ac:dyDescent="0.25">
      <c r="A127" s="46">
        <v>43151</v>
      </c>
      <c r="B127">
        <v>505</v>
      </c>
      <c r="C127">
        <v>519</v>
      </c>
      <c r="D127" s="56">
        <v>4900.7</v>
      </c>
      <c r="E127">
        <v>70</v>
      </c>
      <c r="F127" t="s">
        <v>1999</v>
      </c>
    </row>
    <row r="128" spans="1:6" x14ac:dyDescent="0.25">
      <c r="A128" s="46">
        <v>43151</v>
      </c>
      <c r="B128">
        <v>505</v>
      </c>
      <c r="C128">
        <v>519</v>
      </c>
      <c r="D128" s="56">
        <v>3220.57</v>
      </c>
      <c r="E128">
        <v>70</v>
      </c>
      <c r="F128" t="s">
        <v>2056</v>
      </c>
    </row>
    <row r="129" spans="1:6" x14ac:dyDescent="0.25">
      <c r="A129" s="46">
        <v>43151</v>
      </c>
      <c r="B129">
        <v>505</v>
      </c>
      <c r="C129">
        <v>519</v>
      </c>
      <c r="D129" s="56">
        <v>120</v>
      </c>
      <c r="E129">
        <v>70</v>
      </c>
      <c r="F129" t="s">
        <v>2057</v>
      </c>
    </row>
    <row r="130" spans="1:6" x14ac:dyDescent="0.25">
      <c r="A130" s="46">
        <v>43152</v>
      </c>
      <c r="B130">
        <v>505</v>
      </c>
      <c r="C130">
        <v>519</v>
      </c>
      <c r="D130" s="56">
        <v>902.66</v>
      </c>
      <c r="E130">
        <v>70</v>
      </c>
      <c r="F130" t="s">
        <v>2058</v>
      </c>
    </row>
    <row r="131" spans="1:6" x14ac:dyDescent="0.25">
      <c r="A131" s="46">
        <v>43152</v>
      </c>
      <c r="B131">
        <v>505</v>
      </c>
      <c r="C131">
        <v>519</v>
      </c>
      <c r="D131" s="56">
        <v>2790.29</v>
      </c>
      <c r="E131">
        <v>70</v>
      </c>
      <c r="F131" t="s">
        <v>2059</v>
      </c>
    </row>
    <row r="132" spans="1:6" x14ac:dyDescent="0.25">
      <c r="A132" s="46">
        <v>43152</v>
      </c>
      <c r="B132">
        <v>505</v>
      </c>
      <c r="C132">
        <v>519</v>
      </c>
      <c r="D132" s="56">
        <v>476</v>
      </c>
      <c r="E132">
        <v>70</v>
      </c>
      <c r="F132" t="s">
        <v>2060</v>
      </c>
    </row>
    <row r="133" spans="1:6" x14ac:dyDescent="0.25">
      <c r="A133" s="46">
        <v>43152</v>
      </c>
      <c r="B133">
        <v>505</v>
      </c>
      <c r="C133">
        <v>519</v>
      </c>
      <c r="D133" s="56">
        <v>716.71</v>
      </c>
      <c r="E133">
        <v>70</v>
      </c>
      <c r="F133" t="s">
        <v>2061</v>
      </c>
    </row>
    <row r="134" spans="1:6" x14ac:dyDescent="0.25">
      <c r="A134" s="46">
        <v>43152</v>
      </c>
      <c r="B134">
        <v>505</v>
      </c>
      <c r="C134">
        <v>519</v>
      </c>
      <c r="D134" s="56">
        <v>357</v>
      </c>
      <c r="E134">
        <v>70</v>
      </c>
      <c r="F134" t="s">
        <v>2062</v>
      </c>
    </row>
    <row r="135" spans="1:6" x14ac:dyDescent="0.25">
      <c r="A135" s="46">
        <v>43153</v>
      </c>
      <c r="B135">
        <v>505</v>
      </c>
      <c r="C135">
        <v>519</v>
      </c>
      <c r="D135" s="56">
        <v>217</v>
      </c>
      <c r="E135">
        <v>70</v>
      </c>
      <c r="F135" t="s">
        <v>2063</v>
      </c>
    </row>
    <row r="136" spans="1:6" x14ac:dyDescent="0.25">
      <c r="A136" s="46">
        <v>43153</v>
      </c>
      <c r="B136">
        <v>505</v>
      </c>
      <c r="C136">
        <v>519</v>
      </c>
      <c r="D136" s="56">
        <v>237.75</v>
      </c>
      <c r="E136">
        <v>70</v>
      </c>
      <c r="F136" t="s">
        <v>2064</v>
      </c>
    </row>
    <row r="137" spans="1:6" x14ac:dyDescent="0.25">
      <c r="A137" s="46">
        <v>43153</v>
      </c>
      <c r="B137">
        <v>505</v>
      </c>
      <c r="C137">
        <v>519</v>
      </c>
      <c r="D137" s="56">
        <v>658.53</v>
      </c>
      <c r="E137">
        <v>70</v>
      </c>
      <c r="F137" t="s">
        <v>2065</v>
      </c>
    </row>
    <row r="138" spans="1:6" x14ac:dyDescent="0.25">
      <c r="A138" s="46">
        <v>43154</v>
      </c>
      <c r="B138">
        <v>505</v>
      </c>
      <c r="C138">
        <v>519</v>
      </c>
      <c r="D138" s="56">
        <v>1062.8499999999999</v>
      </c>
      <c r="E138">
        <v>70</v>
      </c>
      <c r="F138" t="s">
        <v>2037</v>
      </c>
    </row>
    <row r="139" spans="1:6" x14ac:dyDescent="0.25">
      <c r="A139" s="46">
        <v>43157</v>
      </c>
      <c r="B139">
        <v>505</v>
      </c>
      <c r="C139">
        <v>519</v>
      </c>
      <c r="D139" s="56">
        <v>5486.42</v>
      </c>
      <c r="E139">
        <v>70</v>
      </c>
      <c r="F139" t="s">
        <v>2066</v>
      </c>
    </row>
    <row r="140" spans="1:6" x14ac:dyDescent="0.25">
      <c r="A140" s="46">
        <v>43157</v>
      </c>
      <c r="B140">
        <v>505</v>
      </c>
      <c r="C140">
        <v>519</v>
      </c>
      <c r="D140" s="56">
        <v>6414.08</v>
      </c>
      <c r="E140">
        <v>70</v>
      </c>
      <c r="F140" t="s">
        <v>2067</v>
      </c>
    </row>
    <row r="141" spans="1:6" x14ac:dyDescent="0.25">
      <c r="A141" s="46">
        <v>43157</v>
      </c>
      <c r="B141">
        <v>505</v>
      </c>
      <c r="C141">
        <v>519</v>
      </c>
      <c r="D141" s="56">
        <v>4769.49</v>
      </c>
      <c r="E141">
        <v>70</v>
      </c>
      <c r="F141" t="s">
        <v>2068</v>
      </c>
    </row>
    <row r="142" spans="1:6" x14ac:dyDescent="0.25">
      <c r="A142" s="46">
        <v>43157</v>
      </c>
      <c r="B142">
        <v>505</v>
      </c>
      <c r="C142">
        <v>519</v>
      </c>
      <c r="D142" s="56">
        <v>1155.81</v>
      </c>
      <c r="E142">
        <v>70</v>
      </c>
      <c r="F142" t="s">
        <v>2069</v>
      </c>
    </row>
    <row r="143" spans="1:6" x14ac:dyDescent="0.25">
      <c r="A143" s="46">
        <v>43157</v>
      </c>
      <c r="B143">
        <v>505</v>
      </c>
      <c r="C143">
        <v>519</v>
      </c>
      <c r="D143" s="56">
        <v>224.67</v>
      </c>
      <c r="E143">
        <v>70</v>
      </c>
      <c r="F143" t="s">
        <v>2070</v>
      </c>
    </row>
    <row r="144" spans="1:6" x14ac:dyDescent="0.25">
      <c r="A144" s="46">
        <v>43157</v>
      </c>
      <c r="B144">
        <v>505</v>
      </c>
      <c r="C144">
        <v>519</v>
      </c>
      <c r="D144" s="56">
        <v>308.10000000000002</v>
      </c>
      <c r="E144">
        <v>70</v>
      </c>
      <c r="F144" t="s">
        <v>2071</v>
      </c>
    </row>
    <row r="145" spans="1:6" x14ac:dyDescent="0.25">
      <c r="A145" s="46">
        <v>43157</v>
      </c>
      <c r="B145">
        <v>505</v>
      </c>
      <c r="C145">
        <v>519</v>
      </c>
      <c r="D145" s="56">
        <v>143.6</v>
      </c>
      <c r="E145">
        <v>70</v>
      </c>
      <c r="F145" t="s">
        <v>2072</v>
      </c>
    </row>
    <row r="146" spans="1:6" x14ac:dyDescent="0.25">
      <c r="A146" s="46">
        <v>43158</v>
      </c>
      <c r="B146">
        <v>505</v>
      </c>
      <c r="C146">
        <v>519</v>
      </c>
      <c r="D146" s="56">
        <v>303.49</v>
      </c>
      <c r="E146">
        <v>70</v>
      </c>
      <c r="F146" t="s">
        <v>2073</v>
      </c>
    </row>
    <row r="147" spans="1:6" x14ac:dyDescent="0.25">
      <c r="A147" s="46">
        <v>43159</v>
      </c>
      <c r="B147">
        <v>505</v>
      </c>
      <c r="C147">
        <v>519</v>
      </c>
      <c r="D147" s="56">
        <v>5170.1899999999996</v>
      </c>
      <c r="E147">
        <v>70</v>
      </c>
      <c r="F147" t="s">
        <v>2074</v>
      </c>
    </row>
    <row r="148" spans="1:6" x14ac:dyDescent="0.25">
      <c r="A148" s="46">
        <v>43159</v>
      </c>
      <c r="B148">
        <v>505</v>
      </c>
      <c r="C148">
        <v>519</v>
      </c>
      <c r="D148" s="56">
        <v>45823.01</v>
      </c>
      <c r="E148">
        <v>70</v>
      </c>
      <c r="F148" t="s">
        <v>2075</v>
      </c>
    </row>
    <row r="149" spans="1:6" x14ac:dyDescent="0.25">
      <c r="A149" s="46">
        <v>43159</v>
      </c>
      <c r="B149">
        <v>505</v>
      </c>
      <c r="C149">
        <v>519</v>
      </c>
      <c r="D149" s="56">
        <v>2807.74</v>
      </c>
      <c r="E149">
        <v>70</v>
      </c>
      <c r="F149" t="s">
        <v>2076</v>
      </c>
    </row>
    <row r="150" spans="1:6" x14ac:dyDescent="0.25">
      <c r="A150" s="46">
        <v>43159</v>
      </c>
      <c r="B150">
        <v>505</v>
      </c>
      <c r="C150">
        <v>519</v>
      </c>
      <c r="D150" s="56">
        <v>4776.09</v>
      </c>
      <c r="E150">
        <v>70</v>
      </c>
      <c r="F150" t="s">
        <v>2077</v>
      </c>
    </row>
    <row r="151" spans="1:6" x14ac:dyDescent="0.25">
      <c r="A151" s="46">
        <v>43159</v>
      </c>
      <c r="B151">
        <v>505</v>
      </c>
      <c r="C151">
        <v>519</v>
      </c>
      <c r="D151" s="56">
        <v>1639.87</v>
      </c>
      <c r="E151">
        <v>70</v>
      </c>
      <c r="F151" t="s">
        <v>2078</v>
      </c>
    </row>
    <row r="152" spans="1:6" x14ac:dyDescent="0.25">
      <c r="A152" s="46">
        <v>43159</v>
      </c>
      <c r="B152">
        <v>505</v>
      </c>
      <c r="C152">
        <v>519</v>
      </c>
      <c r="D152" s="56">
        <v>845</v>
      </c>
      <c r="E152">
        <v>70</v>
      </c>
      <c r="F152" t="s">
        <v>2079</v>
      </c>
    </row>
    <row r="153" spans="1:6" x14ac:dyDescent="0.25">
      <c r="A153" s="46">
        <v>43159</v>
      </c>
      <c r="B153">
        <v>505</v>
      </c>
      <c r="C153">
        <v>519</v>
      </c>
      <c r="D153" s="56">
        <v>902.67</v>
      </c>
      <c r="E153">
        <v>70</v>
      </c>
      <c r="F153" t="s">
        <v>2058</v>
      </c>
    </row>
    <row r="154" spans="1:6" x14ac:dyDescent="0.25">
      <c r="A154" s="46">
        <v>43159</v>
      </c>
      <c r="B154">
        <v>505</v>
      </c>
      <c r="C154">
        <v>519</v>
      </c>
      <c r="D154" s="56">
        <v>766.04</v>
      </c>
      <c r="E154">
        <v>70</v>
      </c>
      <c r="F154" t="s">
        <v>2080</v>
      </c>
    </row>
    <row r="155" spans="1:6" x14ac:dyDescent="0.25">
      <c r="A155" s="46">
        <v>43159</v>
      </c>
      <c r="B155">
        <v>505</v>
      </c>
      <c r="C155">
        <v>519</v>
      </c>
      <c r="D155" s="56">
        <v>270</v>
      </c>
      <c r="E155">
        <v>70</v>
      </c>
      <c r="F155" t="s">
        <v>2081</v>
      </c>
    </row>
    <row r="156" spans="1:6" x14ac:dyDescent="0.25">
      <c r="A156" s="46">
        <v>43159</v>
      </c>
      <c r="B156">
        <v>505</v>
      </c>
      <c r="C156">
        <v>519</v>
      </c>
      <c r="D156" s="56">
        <v>305.32</v>
      </c>
      <c r="E156">
        <v>70</v>
      </c>
      <c r="F156" t="s">
        <v>2082</v>
      </c>
    </row>
    <row r="157" spans="1:6" x14ac:dyDescent="0.25">
      <c r="A157" s="46">
        <v>43159</v>
      </c>
      <c r="B157">
        <v>505</v>
      </c>
      <c r="C157">
        <v>519</v>
      </c>
      <c r="D157" s="56">
        <v>159.57</v>
      </c>
      <c r="E157">
        <v>70</v>
      </c>
      <c r="F157" t="s">
        <v>2083</v>
      </c>
    </row>
    <row r="158" spans="1:6" x14ac:dyDescent="0.25">
      <c r="A158" s="46">
        <v>43159</v>
      </c>
      <c r="B158">
        <v>505</v>
      </c>
      <c r="C158">
        <v>519</v>
      </c>
      <c r="D158" s="56">
        <v>115.3</v>
      </c>
      <c r="E158">
        <v>70</v>
      </c>
      <c r="F158" t="s">
        <v>2084</v>
      </c>
    </row>
    <row r="159" spans="1:6" x14ac:dyDescent="0.25">
      <c r="A159" s="46">
        <v>43144</v>
      </c>
      <c r="B159">
        <v>688</v>
      </c>
      <c r="C159">
        <v>519</v>
      </c>
      <c r="D159" s="56">
        <v>353.58</v>
      </c>
      <c r="E159">
        <v>70</v>
      </c>
      <c r="F159" t="s">
        <v>2085</v>
      </c>
    </row>
    <row r="160" spans="1:6" x14ac:dyDescent="0.25">
      <c r="A160" s="46">
        <v>43146</v>
      </c>
      <c r="B160">
        <v>688</v>
      </c>
      <c r="C160">
        <v>519</v>
      </c>
      <c r="D160" s="56">
        <v>949.51</v>
      </c>
      <c r="E160">
        <v>70</v>
      </c>
      <c r="F160" t="s">
        <v>2086</v>
      </c>
    </row>
    <row r="161" spans="1:6" x14ac:dyDescent="0.25">
      <c r="A161" s="46">
        <v>43151</v>
      </c>
      <c r="B161">
        <v>688</v>
      </c>
      <c r="C161">
        <v>519</v>
      </c>
      <c r="D161" s="56">
        <v>821.65</v>
      </c>
      <c r="E161">
        <v>70</v>
      </c>
      <c r="F161" t="s">
        <v>2087</v>
      </c>
    </row>
    <row r="162" spans="1:6" x14ac:dyDescent="0.25">
      <c r="A162" s="46">
        <v>43154</v>
      </c>
      <c r="B162">
        <v>688</v>
      </c>
      <c r="C162">
        <v>519</v>
      </c>
      <c r="D162" s="56">
        <v>89.17</v>
      </c>
      <c r="E162">
        <v>70</v>
      </c>
      <c r="F162" t="s">
        <v>2088</v>
      </c>
    </row>
    <row r="163" spans="1:6" x14ac:dyDescent="0.25">
      <c r="A163" s="46">
        <v>43159</v>
      </c>
      <c r="B163">
        <v>688</v>
      </c>
      <c r="C163">
        <v>519</v>
      </c>
      <c r="D163" s="56">
        <v>1030.76</v>
      </c>
      <c r="E163">
        <v>70</v>
      </c>
      <c r="F163" t="s">
        <v>2089</v>
      </c>
    </row>
  </sheetData>
  <pageMargins left="0.511811024" right="0.511811024" top="0.78740157499999996" bottom="0.78740157499999996" header="0.31496062000000002" footer="0.31496062000000002"/>
  <pageSetup paperSize="9" orientation="portrait" horizontalDpi="10" verticalDpi="15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324"/>
  <sheetViews>
    <sheetView workbookViewId="0">
      <selection activeCell="A2" sqref="A2"/>
    </sheetView>
  </sheetViews>
  <sheetFormatPr defaultRowHeight="15" x14ac:dyDescent="0.25"/>
  <cols>
    <col min="1" max="1" width="100.140625" bestFit="1" customWidth="1"/>
  </cols>
  <sheetData>
    <row r="1" spans="1:1" x14ac:dyDescent="0.25">
      <c r="A1" t="s">
        <v>1906</v>
      </c>
    </row>
    <row r="2" spans="1:1" x14ac:dyDescent="0.25">
      <c r="A2" t="s">
        <v>2090</v>
      </c>
    </row>
    <row r="3" spans="1:1" x14ac:dyDescent="0.25">
      <c r="A3" t="s">
        <v>1906</v>
      </c>
    </row>
    <row r="4" spans="1:1" x14ac:dyDescent="0.25">
      <c r="A4" t="s">
        <v>2091</v>
      </c>
    </row>
    <row r="5" spans="1:1" x14ac:dyDescent="0.25">
      <c r="A5" t="s">
        <v>1906</v>
      </c>
    </row>
    <row r="6" spans="1:1" x14ac:dyDescent="0.25">
      <c r="A6" t="s">
        <v>2092</v>
      </c>
    </row>
    <row r="7" spans="1:1" x14ac:dyDescent="0.25">
      <c r="A7" t="s">
        <v>1906</v>
      </c>
    </row>
    <row r="8" spans="1:1" x14ac:dyDescent="0.25">
      <c r="A8" t="s">
        <v>2093</v>
      </c>
    </row>
    <row r="9" spans="1:1" x14ac:dyDescent="0.25">
      <c r="A9" t="s">
        <v>1906</v>
      </c>
    </row>
    <row r="10" spans="1:1" x14ac:dyDescent="0.25">
      <c r="A10" t="s">
        <v>2094</v>
      </c>
    </row>
    <row r="11" spans="1:1" x14ac:dyDescent="0.25">
      <c r="A11" t="s">
        <v>1906</v>
      </c>
    </row>
    <row r="12" spans="1:1" x14ac:dyDescent="0.25">
      <c r="A12" t="s">
        <v>2095</v>
      </c>
    </row>
    <row r="13" spans="1:1" x14ac:dyDescent="0.25">
      <c r="A13" t="s">
        <v>1906</v>
      </c>
    </row>
    <row r="14" spans="1:1" x14ac:dyDescent="0.25">
      <c r="A14" t="s">
        <v>2096</v>
      </c>
    </row>
    <row r="15" spans="1:1" x14ac:dyDescent="0.25">
      <c r="A15" t="s">
        <v>1906</v>
      </c>
    </row>
    <row r="16" spans="1:1" x14ac:dyDescent="0.25">
      <c r="A16" t="s">
        <v>2097</v>
      </c>
    </row>
    <row r="17" spans="1:1" x14ac:dyDescent="0.25">
      <c r="A17" t="s">
        <v>1906</v>
      </c>
    </row>
    <row r="18" spans="1:1" x14ac:dyDescent="0.25">
      <c r="A18" t="s">
        <v>2098</v>
      </c>
    </row>
    <row r="19" spans="1:1" x14ac:dyDescent="0.25">
      <c r="A19" t="s">
        <v>1906</v>
      </c>
    </row>
    <row r="20" spans="1:1" x14ac:dyDescent="0.25">
      <c r="A20" t="s">
        <v>2099</v>
      </c>
    </row>
    <row r="21" spans="1:1" x14ac:dyDescent="0.25">
      <c r="A21" t="s">
        <v>1906</v>
      </c>
    </row>
    <row r="22" spans="1:1" x14ac:dyDescent="0.25">
      <c r="A22" t="s">
        <v>2100</v>
      </c>
    </row>
    <row r="23" spans="1:1" x14ac:dyDescent="0.25">
      <c r="A23" t="s">
        <v>1906</v>
      </c>
    </row>
    <row r="24" spans="1:1" x14ac:dyDescent="0.25">
      <c r="A24" t="s">
        <v>2101</v>
      </c>
    </row>
    <row r="25" spans="1:1" x14ac:dyDescent="0.25">
      <c r="A25" t="s">
        <v>1906</v>
      </c>
    </row>
    <row r="26" spans="1:1" x14ac:dyDescent="0.25">
      <c r="A26" t="s">
        <v>2102</v>
      </c>
    </row>
    <row r="27" spans="1:1" x14ac:dyDescent="0.25">
      <c r="A27" t="s">
        <v>1906</v>
      </c>
    </row>
    <row r="28" spans="1:1" x14ac:dyDescent="0.25">
      <c r="A28" t="s">
        <v>2103</v>
      </c>
    </row>
    <row r="29" spans="1:1" x14ac:dyDescent="0.25">
      <c r="A29" t="s">
        <v>1906</v>
      </c>
    </row>
    <row r="30" spans="1:1" x14ac:dyDescent="0.25">
      <c r="A30" t="s">
        <v>2104</v>
      </c>
    </row>
    <row r="31" spans="1:1" x14ac:dyDescent="0.25">
      <c r="A31" t="s">
        <v>1906</v>
      </c>
    </row>
    <row r="32" spans="1:1" x14ac:dyDescent="0.25">
      <c r="A32" t="s">
        <v>2105</v>
      </c>
    </row>
    <row r="33" spans="1:1" x14ac:dyDescent="0.25">
      <c r="A33" t="s">
        <v>1906</v>
      </c>
    </row>
    <row r="34" spans="1:1" x14ac:dyDescent="0.25">
      <c r="A34" t="s">
        <v>2106</v>
      </c>
    </row>
    <row r="35" spans="1:1" x14ac:dyDescent="0.25">
      <c r="A35" t="s">
        <v>1906</v>
      </c>
    </row>
    <row r="36" spans="1:1" x14ac:dyDescent="0.25">
      <c r="A36" t="s">
        <v>2107</v>
      </c>
    </row>
    <row r="37" spans="1:1" x14ac:dyDescent="0.25">
      <c r="A37" t="s">
        <v>1906</v>
      </c>
    </row>
    <row r="38" spans="1:1" x14ac:dyDescent="0.25">
      <c r="A38" t="s">
        <v>2108</v>
      </c>
    </row>
    <row r="39" spans="1:1" x14ac:dyDescent="0.25">
      <c r="A39" t="s">
        <v>1906</v>
      </c>
    </row>
    <row r="40" spans="1:1" x14ac:dyDescent="0.25">
      <c r="A40" t="s">
        <v>2109</v>
      </c>
    </row>
    <row r="41" spans="1:1" x14ac:dyDescent="0.25">
      <c r="A41" t="s">
        <v>1906</v>
      </c>
    </row>
    <row r="42" spans="1:1" x14ac:dyDescent="0.25">
      <c r="A42" t="s">
        <v>2110</v>
      </c>
    </row>
    <row r="43" spans="1:1" x14ac:dyDescent="0.25">
      <c r="A43" t="s">
        <v>1906</v>
      </c>
    </row>
    <row r="44" spans="1:1" x14ac:dyDescent="0.25">
      <c r="A44" t="s">
        <v>2111</v>
      </c>
    </row>
    <row r="45" spans="1:1" x14ac:dyDescent="0.25">
      <c r="A45" t="s">
        <v>1906</v>
      </c>
    </row>
    <row r="46" spans="1:1" x14ac:dyDescent="0.25">
      <c r="A46" t="s">
        <v>2112</v>
      </c>
    </row>
    <row r="47" spans="1:1" x14ac:dyDescent="0.25">
      <c r="A47" t="s">
        <v>1906</v>
      </c>
    </row>
    <row r="48" spans="1:1" x14ac:dyDescent="0.25">
      <c r="A48" t="s">
        <v>2113</v>
      </c>
    </row>
    <row r="49" spans="1:1" x14ac:dyDescent="0.25">
      <c r="A49" t="s">
        <v>1906</v>
      </c>
    </row>
    <row r="50" spans="1:1" x14ac:dyDescent="0.25">
      <c r="A50" t="s">
        <v>2114</v>
      </c>
    </row>
    <row r="51" spans="1:1" x14ac:dyDescent="0.25">
      <c r="A51" t="s">
        <v>1906</v>
      </c>
    </row>
    <row r="52" spans="1:1" x14ac:dyDescent="0.25">
      <c r="A52" t="s">
        <v>2115</v>
      </c>
    </row>
    <row r="53" spans="1:1" x14ac:dyDescent="0.25">
      <c r="A53" t="s">
        <v>1906</v>
      </c>
    </row>
    <row r="54" spans="1:1" x14ac:dyDescent="0.25">
      <c r="A54" t="s">
        <v>2116</v>
      </c>
    </row>
    <row r="55" spans="1:1" x14ac:dyDescent="0.25">
      <c r="A55" t="s">
        <v>1906</v>
      </c>
    </row>
    <row r="56" spans="1:1" x14ac:dyDescent="0.25">
      <c r="A56" t="s">
        <v>2117</v>
      </c>
    </row>
    <row r="57" spans="1:1" x14ac:dyDescent="0.25">
      <c r="A57" t="s">
        <v>1906</v>
      </c>
    </row>
    <row r="58" spans="1:1" x14ac:dyDescent="0.25">
      <c r="A58" t="s">
        <v>2118</v>
      </c>
    </row>
    <row r="59" spans="1:1" x14ac:dyDescent="0.25">
      <c r="A59" t="s">
        <v>1906</v>
      </c>
    </row>
    <row r="60" spans="1:1" x14ac:dyDescent="0.25">
      <c r="A60" t="s">
        <v>2119</v>
      </c>
    </row>
    <row r="61" spans="1:1" x14ac:dyDescent="0.25">
      <c r="A61" t="s">
        <v>1906</v>
      </c>
    </row>
    <row r="62" spans="1:1" x14ac:dyDescent="0.25">
      <c r="A62" t="s">
        <v>2120</v>
      </c>
    </row>
    <row r="63" spans="1:1" x14ac:dyDescent="0.25">
      <c r="A63" t="s">
        <v>1906</v>
      </c>
    </row>
    <row r="64" spans="1:1" x14ac:dyDescent="0.25">
      <c r="A64" t="s">
        <v>2121</v>
      </c>
    </row>
    <row r="65" spans="1:1" x14ac:dyDescent="0.25">
      <c r="A65" t="s">
        <v>1906</v>
      </c>
    </row>
    <row r="66" spans="1:1" x14ac:dyDescent="0.25">
      <c r="A66" t="s">
        <v>2122</v>
      </c>
    </row>
    <row r="67" spans="1:1" x14ac:dyDescent="0.25">
      <c r="A67" t="s">
        <v>1906</v>
      </c>
    </row>
    <row r="68" spans="1:1" x14ac:dyDescent="0.25">
      <c r="A68" t="s">
        <v>2123</v>
      </c>
    </row>
    <row r="69" spans="1:1" x14ac:dyDescent="0.25">
      <c r="A69" t="s">
        <v>1906</v>
      </c>
    </row>
    <row r="70" spans="1:1" x14ac:dyDescent="0.25">
      <c r="A70" t="s">
        <v>2124</v>
      </c>
    </row>
    <row r="71" spans="1:1" x14ac:dyDescent="0.25">
      <c r="A71" t="s">
        <v>1906</v>
      </c>
    </row>
    <row r="72" spans="1:1" x14ac:dyDescent="0.25">
      <c r="A72" t="s">
        <v>2125</v>
      </c>
    </row>
    <row r="73" spans="1:1" x14ac:dyDescent="0.25">
      <c r="A73" t="s">
        <v>1906</v>
      </c>
    </row>
    <row r="74" spans="1:1" x14ac:dyDescent="0.25">
      <c r="A74" t="s">
        <v>2126</v>
      </c>
    </row>
    <row r="75" spans="1:1" x14ac:dyDescent="0.25">
      <c r="A75" t="s">
        <v>1906</v>
      </c>
    </row>
    <row r="76" spans="1:1" x14ac:dyDescent="0.25">
      <c r="A76" t="s">
        <v>2127</v>
      </c>
    </row>
    <row r="77" spans="1:1" x14ac:dyDescent="0.25">
      <c r="A77" t="s">
        <v>1906</v>
      </c>
    </row>
    <row r="78" spans="1:1" x14ac:dyDescent="0.25">
      <c r="A78" t="s">
        <v>2128</v>
      </c>
    </row>
    <row r="79" spans="1:1" x14ac:dyDescent="0.25">
      <c r="A79" t="s">
        <v>1906</v>
      </c>
    </row>
    <row r="80" spans="1:1" x14ac:dyDescent="0.25">
      <c r="A80" t="s">
        <v>2129</v>
      </c>
    </row>
    <row r="81" spans="1:1" x14ac:dyDescent="0.25">
      <c r="A81" t="s">
        <v>1906</v>
      </c>
    </row>
    <row r="82" spans="1:1" x14ac:dyDescent="0.25">
      <c r="A82" t="s">
        <v>2130</v>
      </c>
    </row>
    <row r="83" spans="1:1" x14ac:dyDescent="0.25">
      <c r="A83" t="s">
        <v>1906</v>
      </c>
    </row>
    <row r="84" spans="1:1" x14ac:dyDescent="0.25">
      <c r="A84" t="s">
        <v>2131</v>
      </c>
    </row>
    <row r="85" spans="1:1" x14ac:dyDescent="0.25">
      <c r="A85" t="s">
        <v>1906</v>
      </c>
    </row>
    <row r="86" spans="1:1" x14ac:dyDescent="0.25">
      <c r="A86" t="s">
        <v>2132</v>
      </c>
    </row>
    <row r="87" spans="1:1" x14ac:dyDescent="0.25">
      <c r="A87" t="s">
        <v>1906</v>
      </c>
    </row>
    <row r="88" spans="1:1" x14ac:dyDescent="0.25">
      <c r="A88" t="s">
        <v>2133</v>
      </c>
    </row>
    <row r="89" spans="1:1" x14ac:dyDescent="0.25">
      <c r="A89" t="s">
        <v>1906</v>
      </c>
    </row>
    <row r="90" spans="1:1" x14ac:dyDescent="0.25">
      <c r="A90" t="s">
        <v>2134</v>
      </c>
    </row>
    <row r="91" spans="1:1" x14ac:dyDescent="0.25">
      <c r="A91" t="s">
        <v>1906</v>
      </c>
    </row>
    <row r="92" spans="1:1" x14ac:dyDescent="0.25">
      <c r="A92" t="s">
        <v>2135</v>
      </c>
    </row>
    <row r="93" spans="1:1" x14ac:dyDescent="0.25">
      <c r="A93" t="s">
        <v>1906</v>
      </c>
    </row>
    <row r="94" spans="1:1" x14ac:dyDescent="0.25">
      <c r="A94" t="s">
        <v>2136</v>
      </c>
    </row>
    <row r="95" spans="1:1" x14ac:dyDescent="0.25">
      <c r="A95" t="s">
        <v>1906</v>
      </c>
    </row>
    <row r="96" spans="1:1" x14ac:dyDescent="0.25">
      <c r="A96" t="s">
        <v>2137</v>
      </c>
    </row>
    <row r="97" spans="1:1" x14ac:dyDescent="0.25">
      <c r="A97" t="s">
        <v>1906</v>
      </c>
    </row>
    <row r="98" spans="1:1" x14ac:dyDescent="0.25">
      <c r="A98" t="s">
        <v>2138</v>
      </c>
    </row>
    <row r="99" spans="1:1" x14ac:dyDescent="0.25">
      <c r="A99" t="s">
        <v>1906</v>
      </c>
    </row>
    <row r="100" spans="1:1" x14ac:dyDescent="0.25">
      <c r="A100" t="s">
        <v>2139</v>
      </c>
    </row>
    <row r="101" spans="1:1" x14ac:dyDescent="0.25">
      <c r="A101" t="s">
        <v>1906</v>
      </c>
    </row>
    <row r="102" spans="1:1" x14ac:dyDescent="0.25">
      <c r="A102" t="s">
        <v>2140</v>
      </c>
    </row>
    <row r="103" spans="1:1" x14ac:dyDescent="0.25">
      <c r="A103" t="s">
        <v>1906</v>
      </c>
    </row>
    <row r="104" spans="1:1" x14ac:dyDescent="0.25">
      <c r="A104" t="s">
        <v>2141</v>
      </c>
    </row>
    <row r="105" spans="1:1" x14ac:dyDescent="0.25">
      <c r="A105" t="s">
        <v>1906</v>
      </c>
    </row>
    <row r="106" spans="1:1" x14ac:dyDescent="0.25">
      <c r="A106" t="s">
        <v>2142</v>
      </c>
    </row>
    <row r="107" spans="1:1" x14ac:dyDescent="0.25">
      <c r="A107" t="s">
        <v>1906</v>
      </c>
    </row>
    <row r="108" spans="1:1" x14ac:dyDescent="0.25">
      <c r="A108" t="s">
        <v>2143</v>
      </c>
    </row>
    <row r="109" spans="1:1" x14ac:dyDescent="0.25">
      <c r="A109" t="s">
        <v>1906</v>
      </c>
    </row>
    <row r="110" spans="1:1" x14ac:dyDescent="0.25">
      <c r="A110" t="s">
        <v>2144</v>
      </c>
    </row>
    <row r="111" spans="1:1" x14ac:dyDescent="0.25">
      <c r="A111" t="s">
        <v>1906</v>
      </c>
    </row>
    <row r="112" spans="1:1" x14ac:dyDescent="0.25">
      <c r="A112" t="s">
        <v>2145</v>
      </c>
    </row>
    <row r="113" spans="1:1" x14ac:dyDescent="0.25">
      <c r="A113" t="s">
        <v>1906</v>
      </c>
    </row>
    <row r="114" spans="1:1" x14ac:dyDescent="0.25">
      <c r="A114" t="s">
        <v>2146</v>
      </c>
    </row>
    <row r="115" spans="1:1" x14ac:dyDescent="0.25">
      <c r="A115" t="s">
        <v>1906</v>
      </c>
    </row>
    <row r="116" spans="1:1" x14ac:dyDescent="0.25">
      <c r="A116" t="s">
        <v>2147</v>
      </c>
    </row>
    <row r="117" spans="1:1" x14ac:dyDescent="0.25">
      <c r="A117" t="s">
        <v>1906</v>
      </c>
    </row>
    <row r="118" spans="1:1" x14ac:dyDescent="0.25">
      <c r="A118" t="s">
        <v>2148</v>
      </c>
    </row>
    <row r="119" spans="1:1" x14ac:dyDescent="0.25">
      <c r="A119" t="s">
        <v>1906</v>
      </c>
    </row>
    <row r="120" spans="1:1" x14ac:dyDescent="0.25">
      <c r="A120" t="s">
        <v>2149</v>
      </c>
    </row>
    <row r="121" spans="1:1" x14ac:dyDescent="0.25">
      <c r="A121" t="s">
        <v>1906</v>
      </c>
    </row>
    <row r="122" spans="1:1" x14ac:dyDescent="0.25">
      <c r="A122" t="s">
        <v>2150</v>
      </c>
    </row>
    <row r="123" spans="1:1" x14ac:dyDescent="0.25">
      <c r="A123" t="s">
        <v>1906</v>
      </c>
    </row>
    <row r="124" spans="1:1" x14ac:dyDescent="0.25">
      <c r="A124" t="s">
        <v>2151</v>
      </c>
    </row>
    <row r="125" spans="1:1" x14ac:dyDescent="0.25">
      <c r="A125" t="s">
        <v>1906</v>
      </c>
    </row>
    <row r="126" spans="1:1" x14ac:dyDescent="0.25">
      <c r="A126" t="s">
        <v>2152</v>
      </c>
    </row>
    <row r="127" spans="1:1" x14ac:dyDescent="0.25">
      <c r="A127" t="s">
        <v>1906</v>
      </c>
    </row>
    <row r="128" spans="1:1" x14ac:dyDescent="0.25">
      <c r="A128" t="s">
        <v>2153</v>
      </c>
    </row>
    <row r="129" spans="1:1" x14ac:dyDescent="0.25">
      <c r="A129" t="s">
        <v>1906</v>
      </c>
    </row>
    <row r="130" spans="1:1" x14ac:dyDescent="0.25">
      <c r="A130" t="s">
        <v>2154</v>
      </c>
    </row>
    <row r="131" spans="1:1" x14ac:dyDescent="0.25">
      <c r="A131" t="s">
        <v>1906</v>
      </c>
    </row>
    <row r="132" spans="1:1" x14ac:dyDescent="0.25">
      <c r="A132" t="s">
        <v>2155</v>
      </c>
    </row>
    <row r="133" spans="1:1" x14ac:dyDescent="0.25">
      <c r="A133" t="s">
        <v>1906</v>
      </c>
    </row>
    <row r="134" spans="1:1" x14ac:dyDescent="0.25">
      <c r="A134" t="s">
        <v>2156</v>
      </c>
    </row>
    <row r="135" spans="1:1" x14ac:dyDescent="0.25">
      <c r="A135" t="s">
        <v>1906</v>
      </c>
    </row>
    <row r="136" spans="1:1" x14ac:dyDescent="0.25">
      <c r="A136" t="s">
        <v>2157</v>
      </c>
    </row>
    <row r="137" spans="1:1" x14ac:dyDescent="0.25">
      <c r="A137" t="s">
        <v>1906</v>
      </c>
    </row>
    <row r="138" spans="1:1" x14ac:dyDescent="0.25">
      <c r="A138" t="s">
        <v>2158</v>
      </c>
    </row>
    <row r="139" spans="1:1" x14ac:dyDescent="0.25">
      <c r="A139" t="s">
        <v>1906</v>
      </c>
    </row>
    <row r="140" spans="1:1" x14ac:dyDescent="0.25">
      <c r="A140" t="s">
        <v>2159</v>
      </c>
    </row>
    <row r="141" spans="1:1" x14ac:dyDescent="0.25">
      <c r="A141" t="s">
        <v>1906</v>
      </c>
    </row>
    <row r="142" spans="1:1" x14ac:dyDescent="0.25">
      <c r="A142" t="s">
        <v>2160</v>
      </c>
    </row>
    <row r="143" spans="1:1" x14ac:dyDescent="0.25">
      <c r="A143" t="s">
        <v>1906</v>
      </c>
    </row>
    <row r="144" spans="1:1" x14ac:dyDescent="0.25">
      <c r="A144" t="s">
        <v>2161</v>
      </c>
    </row>
    <row r="145" spans="1:1" x14ac:dyDescent="0.25">
      <c r="A145" t="s">
        <v>1906</v>
      </c>
    </row>
    <row r="146" spans="1:1" x14ac:dyDescent="0.25">
      <c r="A146" t="s">
        <v>2162</v>
      </c>
    </row>
    <row r="147" spans="1:1" x14ac:dyDescent="0.25">
      <c r="A147" t="s">
        <v>1906</v>
      </c>
    </row>
    <row r="148" spans="1:1" x14ac:dyDescent="0.25">
      <c r="A148" t="s">
        <v>2163</v>
      </c>
    </row>
    <row r="149" spans="1:1" x14ac:dyDescent="0.25">
      <c r="A149" t="s">
        <v>1906</v>
      </c>
    </row>
    <row r="150" spans="1:1" x14ac:dyDescent="0.25">
      <c r="A150" t="s">
        <v>2164</v>
      </c>
    </row>
    <row r="151" spans="1:1" x14ac:dyDescent="0.25">
      <c r="A151" t="s">
        <v>1906</v>
      </c>
    </row>
    <row r="152" spans="1:1" x14ac:dyDescent="0.25">
      <c r="A152" t="s">
        <v>2165</v>
      </c>
    </row>
    <row r="153" spans="1:1" x14ac:dyDescent="0.25">
      <c r="A153" t="s">
        <v>1906</v>
      </c>
    </row>
    <row r="154" spans="1:1" x14ac:dyDescent="0.25">
      <c r="A154" t="s">
        <v>2166</v>
      </c>
    </row>
    <row r="155" spans="1:1" x14ac:dyDescent="0.25">
      <c r="A155" t="s">
        <v>1906</v>
      </c>
    </row>
    <row r="156" spans="1:1" x14ac:dyDescent="0.25">
      <c r="A156" t="s">
        <v>2167</v>
      </c>
    </row>
    <row r="157" spans="1:1" x14ac:dyDescent="0.25">
      <c r="A157" t="s">
        <v>1906</v>
      </c>
    </row>
    <row r="158" spans="1:1" x14ac:dyDescent="0.25">
      <c r="A158" t="s">
        <v>2168</v>
      </c>
    </row>
    <row r="159" spans="1:1" x14ac:dyDescent="0.25">
      <c r="A159" t="s">
        <v>1906</v>
      </c>
    </row>
    <row r="160" spans="1:1" x14ac:dyDescent="0.25">
      <c r="A160" t="s">
        <v>2169</v>
      </c>
    </row>
    <row r="161" spans="1:1" x14ac:dyDescent="0.25">
      <c r="A161" t="s">
        <v>1906</v>
      </c>
    </row>
    <row r="162" spans="1:1" x14ac:dyDescent="0.25">
      <c r="A162" t="s">
        <v>2170</v>
      </c>
    </row>
    <row r="163" spans="1:1" x14ac:dyDescent="0.25">
      <c r="A163" t="s">
        <v>1906</v>
      </c>
    </row>
    <row r="164" spans="1:1" x14ac:dyDescent="0.25">
      <c r="A164" t="s">
        <v>2171</v>
      </c>
    </row>
    <row r="165" spans="1:1" x14ac:dyDescent="0.25">
      <c r="A165" t="s">
        <v>1906</v>
      </c>
    </row>
    <row r="166" spans="1:1" x14ac:dyDescent="0.25">
      <c r="A166" t="s">
        <v>2172</v>
      </c>
    </row>
    <row r="167" spans="1:1" x14ac:dyDescent="0.25">
      <c r="A167" t="s">
        <v>1906</v>
      </c>
    </row>
    <row r="168" spans="1:1" x14ac:dyDescent="0.25">
      <c r="A168" t="s">
        <v>2173</v>
      </c>
    </row>
    <row r="169" spans="1:1" x14ac:dyDescent="0.25">
      <c r="A169" t="s">
        <v>1906</v>
      </c>
    </row>
    <row r="170" spans="1:1" x14ac:dyDescent="0.25">
      <c r="A170" t="s">
        <v>2174</v>
      </c>
    </row>
    <row r="171" spans="1:1" x14ac:dyDescent="0.25">
      <c r="A171" t="s">
        <v>1906</v>
      </c>
    </row>
    <row r="172" spans="1:1" x14ac:dyDescent="0.25">
      <c r="A172" t="s">
        <v>2175</v>
      </c>
    </row>
    <row r="173" spans="1:1" x14ac:dyDescent="0.25">
      <c r="A173" t="s">
        <v>1906</v>
      </c>
    </row>
    <row r="174" spans="1:1" x14ac:dyDescent="0.25">
      <c r="A174" t="s">
        <v>2176</v>
      </c>
    </row>
    <row r="175" spans="1:1" x14ac:dyDescent="0.25">
      <c r="A175" t="s">
        <v>1906</v>
      </c>
    </row>
    <row r="176" spans="1:1" x14ac:dyDescent="0.25">
      <c r="A176" t="s">
        <v>2177</v>
      </c>
    </row>
    <row r="177" spans="1:1" x14ac:dyDescent="0.25">
      <c r="A177" t="s">
        <v>1906</v>
      </c>
    </row>
    <row r="178" spans="1:1" x14ac:dyDescent="0.25">
      <c r="A178" t="s">
        <v>2178</v>
      </c>
    </row>
    <row r="179" spans="1:1" x14ac:dyDescent="0.25">
      <c r="A179" t="s">
        <v>1906</v>
      </c>
    </row>
    <row r="180" spans="1:1" x14ac:dyDescent="0.25">
      <c r="A180" t="s">
        <v>2179</v>
      </c>
    </row>
    <row r="181" spans="1:1" x14ac:dyDescent="0.25">
      <c r="A181" t="s">
        <v>1906</v>
      </c>
    </row>
    <row r="182" spans="1:1" x14ac:dyDescent="0.25">
      <c r="A182" t="s">
        <v>2180</v>
      </c>
    </row>
    <row r="183" spans="1:1" x14ac:dyDescent="0.25">
      <c r="A183" t="s">
        <v>1906</v>
      </c>
    </row>
    <row r="184" spans="1:1" x14ac:dyDescent="0.25">
      <c r="A184" t="s">
        <v>2181</v>
      </c>
    </row>
    <row r="185" spans="1:1" x14ac:dyDescent="0.25">
      <c r="A185" t="s">
        <v>1906</v>
      </c>
    </row>
    <row r="186" spans="1:1" x14ac:dyDescent="0.25">
      <c r="A186" t="s">
        <v>2182</v>
      </c>
    </row>
    <row r="187" spans="1:1" x14ac:dyDescent="0.25">
      <c r="A187" t="s">
        <v>1906</v>
      </c>
    </row>
    <row r="188" spans="1:1" x14ac:dyDescent="0.25">
      <c r="A188" t="s">
        <v>2183</v>
      </c>
    </row>
    <row r="189" spans="1:1" x14ac:dyDescent="0.25">
      <c r="A189" t="s">
        <v>1906</v>
      </c>
    </row>
    <row r="190" spans="1:1" x14ac:dyDescent="0.25">
      <c r="A190" t="s">
        <v>2184</v>
      </c>
    </row>
    <row r="191" spans="1:1" x14ac:dyDescent="0.25">
      <c r="A191" t="s">
        <v>1906</v>
      </c>
    </row>
    <row r="192" spans="1:1" x14ac:dyDescent="0.25">
      <c r="A192" t="s">
        <v>2185</v>
      </c>
    </row>
    <row r="193" spans="1:1" x14ac:dyDescent="0.25">
      <c r="A193" t="s">
        <v>1906</v>
      </c>
    </row>
    <row r="194" spans="1:1" x14ac:dyDescent="0.25">
      <c r="A194" t="s">
        <v>2186</v>
      </c>
    </row>
    <row r="195" spans="1:1" x14ac:dyDescent="0.25">
      <c r="A195" t="s">
        <v>1906</v>
      </c>
    </row>
    <row r="196" spans="1:1" x14ac:dyDescent="0.25">
      <c r="A196" t="s">
        <v>2187</v>
      </c>
    </row>
    <row r="197" spans="1:1" x14ac:dyDescent="0.25">
      <c r="A197" t="s">
        <v>1906</v>
      </c>
    </row>
    <row r="198" spans="1:1" x14ac:dyDescent="0.25">
      <c r="A198" t="s">
        <v>2188</v>
      </c>
    </row>
    <row r="199" spans="1:1" x14ac:dyDescent="0.25">
      <c r="A199" t="s">
        <v>1906</v>
      </c>
    </row>
    <row r="200" spans="1:1" x14ac:dyDescent="0.25">
      <c r="A200" t="s">
        <v>2189</v>
      </c>
    </row>
    <row r="201" spans="1:1" x14ac:dyDescent="0.25">
      <c r="A201" t="s">
        <v>1906</v>
      </c>
    </row>
    <row r="202" spans="1:1" x14ac:dyDescent="0.25">
      <c r="A202" t="s">
        <v>2190</v>
      </c>
    </row>
    <row r="203" spans="1:1" x14ac:dyDescent="0.25">
      <c r="A203" t="s">
        <v>1906</v>
      </c>
    </row>
    <row r="204" spans="1:1" x14ac:dyDescent="0.25">
      <c r="A204" t="s">
        <v>2191</v>
      </c>
    </row>
    <row r="205" spans="1:1" x14ac:dyDescent="0.25">
      <c r="A205" t="s">
        <v>1906</v>
      </c>
    </row>
    <row r="206" spans="1:1" x14ac:dyDescent="0.25">
      <c r="A206" t="s">
        <v>2192</v>
      </c>
    </row>
    <row r="207" spans="1:1" x14ac:dyDescent="0.25">
      <c r="A207" t="s">
        <v>1906</v>
      </c>
    </row>
    <row r="208" spans="1:1" x14ac:dyDescent="0.25">
      <c r="A208" t="s">
        <v>2193</v>
      </c>
    </row>
    <row r="209" spans="1:1" x14ac:dyDescent="0.25">
      <c r="A209" t="s">
        <v>1906</v>
      </c>
    </row>
    <row r="210" spans="1:1" x14ac:dyDescent="0.25">
      <c r="A210" t="s">
        <v>2194</v>
      </c>
    </row>
    <row r="211" spans="1:1" x14ac:dyDescent="0.25">
      <c r="A211" t="s">
        <v>1906</v>
      </c>
    </row>
    <row r="212" spans="1:1" x14ac:dyDescent="0.25">
      <c r="A212" t="s">
        <v>2195</v>
      </c>
    </row>
    <row r="213" spans="1:1" x14ac:dyDescent="0.25">
      <c r="A213" t="s">
        <v>1906</v>
      </c>
    </row>
    <row r="214" spans="1:1" x14ac:dyDescent="0.25">
      <c r="A214" t="s">
        <v>2196</v>
      </c>
    </row>
    <row r="215" spans="1:1" x14ac:dyDescent="0.25">
      <c r="A215" t="s">
        <v>1906</v>
      </c>
    </row>
    <row r="216" spans="1:1" x14ac:dyDescent="0.25">
      <c r="A216" t="s">
        <v>2197</v>
      </c>
    </row>
    <row r="217" spans="1:1" x14ac:dyDescent="0.25">
      <c r="A217" t="s">
        <v>1906</v>
      </c>
    </row>
    <row r="218" spans="1:1" x14ac:dyDescent="0.25">
      <c r="A218" t="s">
        <v>2198</v>
      </c>
    </row>
    <row r="219" spans="1:1" x14ac:dyDescent="0.25">
      <c r="A219" t="s">
        <v>1906</v>
      </c>
    </row>
    <row r="220" spans="1:1" x14ac:dyDescent="0.25">
      <c r="A220" t="s">
        <v>2199</v>
      </c>
    </row>
    <row r="221" spans="1:1" x14ac:dyDescent="0.25">
      <c r="A221" t="s">
        <v>1906</v>
      </c>
    </row>
    <row r="222" spans="1:1" x14ac:dyDescent="0.25">
      <c r="A222" t="s">
        <v>2200</v>
      </c>
    </row>
    <row r="223" spans="1:1" x14ac:dyDescent="0.25">
      <c r="A223" t="s">
        <v>1906</v>
      </c>
    </row>
    <row r="224" spans="1:1" x14ac:dyDescent="0.25">
      <c r="A224" t="s">
        <v>2201</v>
      </c>
    </row>
    <row r="225" spans="1:1" x14ac:dyDescent="0.25">
      <c r="A225" t="s">
        <v>1906</v>
      </c>
    </row>
    <row r="226" spans="1:1" x14ac:dyDescent="0.25">
      <c r="A226" t="s">
        <v>2202</v>
      </c>
    </row>
    <row r="227" spans="1:1" x14ac:dyDescent="0.25">
      <c r="A227" t="s">
        <v>1906</v>
      </c>
    </row>
    <row r="228" spans="1:1" x14ac:dyDescent="0.25">
      <c r="A228" t="s">
        <v>2203</v>
      </c>
    </row>
    <row r="229" spans="1:1" x14ac:dyDescent="0.25">
      <c r="A229" t="s">
        <v>1906</v>
      </c>
    </row>
    <row r="230" spans="1:1" x14ac:dyDescent="0.25">
      <c r="A230" t="s">
        <v>2204</v>
      </c>
    </row>
    <row r="231" spans="1:1" x14ac:dyDescent="0.25">
      <c r="A231" t="s">
        <v>1906</v>
      </c>
    </row>
    <row r="232" spans="1:1" x14ac:dyDescent="0.25">
      <c r="A232" t="s">
        <v>2205</v>
      </c>
    </row>
    <row r="233" spans="1:1" x14ac:dyDescent="0.25">
      <c r="A233" t="s">
        <v>1906</v>
      </c>
    </row>
    <row r="234" spans="1:1" x14ac:dyDescent="0.25">
      <c r="A234" t="s">
        <v>2206</v>
      </c>
    </row>
    <row r="235" spans="1:1" x14ac:dyDescent="0.25">
      <c r="A235" t="s">
        <v>1906</v>
      </c>
    </row>
    <row r="236" spans="1:1" x14ac:dyDescent="0.25">
      <c r="A236" t="s">
        <v>2207</v>
      </c>
    </row>
    <row r="237" spans="1:1" x14ac:dyDescent="0.25">
      <c r="A237" t="s">
        <v>1906</v>
      </c>
    </row>
    <row r="238" spans="1:1" x14ac:dyDescent="0.25">
      <c r="A238" t="s">
        <v>2208</v>
      </c>
    </row>
    <row r="239" spans="1:1" x14ac:dyDescent="0.25">
      <c r="A239" t="s">
        <v>1906</v>
      </c>
    </row>
    <row r="240" spans="1:1" x14ac:dyDescent="0.25">
      <c r="A240" t="s">
        <v>2209</v>
      </c>
    </row>
    <row r="241" spans="1:1" x14ac:dyDescent="0.25">
      <c r="A241" t="s">
        <v>1906</v>
      </c>
    </row>
    <row r="242" spans="1:1" x14ac:dyDescent="0.25">
      <c r="A242" t="s">
        <v>2210</v>
      </c>
    </row>
    <row r="243" spans="1:1" x14ac:dyDescent="0.25">
      <c r="A243" t="s">
        <v>1906</v>
      </c>
    </row>
    <row r="244" spans="1:1" x14ac:dyDescent="0.25">
      <c r="A244" t="s">
        <v>2211</v>
      </c>
    </row>
    <row r="245" spans="1:1" x14ac:dyDescent="0.25">
      <c r="A245" t="s">
        <v>1906</v>
      </c>
    </row>
    <row r="246" spans="1:1" x14ac:dyDescent="0.25">
      <c r="A246" t="s">
        <v>2212</v>
      </c>
    </row>
    <row r="247" spans="1:1" x14ac:dyDescent="0.25">
      <c r="A247" t="s">
        <v>1906</v>
      </c>
    </row>
    <row r="248" spans="1:1" x14ac:dyDescent="0.25">
      <c r="A248" t="s">
        <v>2213</v>
      </c>
    </row>
    <row r="249" spans="1:1" x14ac:dyDescent="0.25">
      <c r="A249" t="s">
        <v>1906</v>
      </c>
    </row>
    <row r="250" spans="1:1" x14ac:dyDescent="0.25">
      <c r="A250" t="s">
        <v>2214</v>
      </c>
    </row>
    <row r="251" spans="1:1" x14ac:dyDescent="0.25">
      <c r="A251" t="s">
        <v>1906</v>
      </c>
    </row>
    <row r="252" spans="1:1" x14ac:dyDescent="0.25">
      <c r="A252" t="s">
        <v>2215</v>
      </c>
    </row>
    <row r="253" spans="1:1" x14ac:dyDescent="0.25">
      <c r="A253" t="s">
        <v>1906</v>
      </c>
    </row>
    <row r="254" spans="1:1" x14ac:dyDescent="0.25">
      <c r="A254" t="s">
        <v>2216</v>
      </c>
    </row>
    <row r="255" spans="1:1" x14ac:dyDescent="0.25">
      <c r="A255" t="s">
        <v>1906</v>
      </c>
    </row>
    <row r="256" spans="1:1" x14ac:dyDescent="0.25">
      <c r="A256" t="s">
        <v>2217</v>
      </c>
    </row>
    <row r="257" spans="1:1" x14ac:dyDescent="0.25">
      <c r="A257" t="s">
        <v>1906</v>
      </c>
    </row>
    <row r="258" spans="1:1" x14ac:dyDescent="0.25">
      <c r="A258" t="s">
        <v>2218</v>
      </c>
    </row>
    <row r="259" spans="1:1" x14ac:dyDescent="0.25">
      <c r="A259" t="s">
        <v>1906</v>
      </c>
    </row>
    <row r="260" spans="1:1" x14ac:dyDescent="0.25">
      <c r="A260" t="s">
        <v>2219</v>
      </c>
    </row>
    <row r="261" spans="1:1" x14ac:dyDescent="0.25">
      <c r="A261" t="s">
        <v>1906</v>
      </c>
    </row>
    <row r="262" spans="1:1" x14ac:dyDescent="0.25">
      <c r="A262" t="s">
        <v>2220</v>
      </c>
    </row>
    <row r="263" spans="1:1" x14ac:dyDescent="0.25">
      <c r="A263" t="s">
        <v>1906</v>
      </c>
    </row>
    <row r="264" spans="1:1" x14ac:dyDescent="0.25">
      <c r="A264" t="s">
        <v>2221</v>
      </c>
    </row>
    <row r="265" spans="1:1" x14ac:dyDescent="0.25">
      <c r="A265" t="s">
        <v>1906</v>
      </c>
    </row>
    <row r="266" spans="1:1" x14ac:dyDescent="0.25">
      <c r="A266" t="s">
        <v>2222</v>
      </c>
    </row>
    <row r="267" spans="1:1" x14ac:dyDescent="0.25">
      <c r="A267" t="s">
        <v>1906</v>
      </c>
    </row>
    <row r="268" spans="1:1" x14ac:dyDescent="0.25">
      <c r="A268" t="s">
        <v>2223</v>
      </c>
    </row>
    <row r="269" spans="1:1" x14ac:dyDescent="0.25">
      <c r="A269" t="s">
        <v>1906</v>
      </c>
    </row>
    <row r="270" spans="1:1" x14ac:dyDescent="0.25">
      <c r="A270" t="s">
        <v>2224</v>
      </c>
    </row>
    <row r="271" spans="1:1" x14ac:dyDescent="0.25">
      <c r="A271" t="s">
        <v>1906</v>
      </c>
    </row>
    <row r="272" spans="1:1" x14ac:dyDescent="0.25">
      <c r="A272" t="s">
        <v>2225</v>
      </c>
    </row>
    <row r="273" spans="1:1" x14ac:dyDescent="0.25">
      <c r="A273" t="s">
        <v>1906</v>
      </c>
    </row>
    <row r="274" spans="1:1" x14ac:dyDescent="0.25">
      <c r="A274" t="s">
        <v>2226</v>
      </c>
    </row>
    <row r="275" spans="1:1" x14ac:dyDescent="0.25">
      <c r="A275" t="s">
        <v>1906</v>
      </c>
    </row>
    <row r="276" spans="1:1" x14ac:dyDescent="0.25">
      <c r="A276" t="s">
        <v>2227</v>
      </c>
    </row>
    <row r="277" spans="1:1" x14ac:dyDescent="0.25">
      <c r="A277" t="s">
        <v>1906</v>
      </c>
    </row>
    <row r="278" spans="1:1" x14ac:dyDescent="0.25">
      <c r="A278" t="s">
        <v>2228</v>
      </c>
    </row>
    <row r="279" spans="1:1" x14ac:dyDescent="0.25">
      <c r="A279" t="s">
        <v>1906</v>
      </c>
    </row>
    <row r="280" spans="1:1" x14ac:dyDescent="0.25">
      <c r="A280" t="s">
        <v>2229</v>
      </c>
    </row>
    <row r="281" spans="1:1" x14ac:dyDescent="0.25">
      <c r="A281" t="s">
        <v>1906</v>
      </c>
    </row>
    <row r="282" spans="1:1" x14ac:dyDescent="0.25">
      <c r="A282" t="s">
        <v>2230</v>
      </c>
    </row>
    <row r="283" spans="1:1" x14ac:dyDescent="0.25">
      <c r="A283" t="s">
        <v>1906</v>
      </c>
    </row>
    <row r="284" spans="1:1" x14ac:dyDescent="0.25">
      <c r="A284" t="s">
        <v>2231</v>
      </c>
    </row>
    <row r="285" spans="1:1" x14ac:dyDescent="0.25">
      <c r="A285" t="s">
        <v>1906</v>
      </c>
    </row>
    <row r="286" spans="1:1" x14ac:dyDescent="0.25">
      <c r="A286" t="s">
        <v>2232</v>
      </c>
    </row>
    <row r="287" spans="1:1" x14ac:dyDescent="0.25">
      <c r="A287" t="s">
        <v>1906</v>
      </c>
    </row>
    <row r="288" spans="1:1" x14ac:dyDescent="0.25">
      <c r="A288" t="s">
        <v>2233</v>
      </c>
    </row>
    <row r="289" spans="1:1" x14ac:dyDescent="0.25">
      <c r="A289" t="s">
        <v>1906</v>
      </c>
    </row>
    <row r="290" spans="1:1" x14ac:dyDescent="0.25">
      <c r="A290" t="s">
        <v>2234</v>
      </c>
    </row>
    <row r="291" spans="1:1" x14ac:dyDescent="0.25">
      <c r="A291" t="s">
        <v>1906</v>
      </c>
    </row>
    <row r="292" spans="1:1" x14ac:dyDescent="0.25">
      <c r="A292" t="s">
        <v>2235</v>
      </c>
    </row>
    <row r="293" spans="1:1" x14ac:dyDescent="0.25">
      <c r="A293" t="s">
        <v>1906</v>
      </c>
    </row>
    <row r="294" spans="1:1" x14ac:dyDescent="0.25">
      <c r="A294" t="s">
        <v>2236</v>
      </c>
    </row>
    <row r="295" spans="1:1" x14ac:dyDescent="0.25">
      <c r="A295" t="s">
        <v>1906</v>
      </c>
    </row>
    <row r="296" spans="1:1" x14ac:dyDescent="0.25">
      <c r="A296" t="s">
        <v>2237</v>
      </c>
    </row>
    <row r="297" spans="1:1" x14ac:dyDescent="0.25">
      <c r="A297" t="s">
        <v>1906</v>
      </c>
    </row>
    <row r="298" spans="1:1" x14ac:dyDescent="0.25">
      <c r="A298" t="s">
        <v>2238</v>
      </c>
    </row>
    <row r="299" spans="1:1" x14ac:dyDescent="0.25">
      <c r="A299" t="s">
        <v>1906</v>
      </c>
    </row>
    <row r="300" spans="1:1" x14ac:dyDescent="0.25">
      <c r="A300" t="s">
        <v>2239</v>
      </c>
    </row>
    <row r="301" spans="1:1" x14ac:dyDescent="0.25">
      <c r="A301" t="s">
        <v>1906</v>
      </c>
    </row>
    <row r="302" spans="1:1" x14ac:dyDescent="0.25">
      <c r="A302" t="s">
        <v>2240</v>
      </c>
    </row>
    <row r="303" spans="1:1" x14ac:dyDescent="0.25">
      <c r="A303" t="s">
        <v>1906</v>
      </c>
    </row>
    <row r="304" spans="1:1" x14ac:dyDescent="0.25">
      <c r="A304" t="s">
        <v>2241</v>
      </c>
    </row>
    <row r="305" spans="1:1" x14ac:dyDescent="0.25">
      <c r="A305" t="s">
        <v>1906</v>
      </c>
    </row>
    <row r="306" spans="1:1" x14ac:dyDescent="0.25">
      <c r="A306" t="s">
        <v>2242</v>
      </c>
    </row>
    <row r="307" spans="1:1" x14ac:dyDescent="0.25">
      <c r="A307" t="s">
        <v>1906</v>
      </c>
    </row>
    <row r="308" spans="1:1" x14ac:dyDescent="0.25">
      <c r="A308" t="s">
        <v>2243</v>
      </c>
    </row>
    <row r="309" spans="1:1" x14ac:dyDescent="0.25">
      <c r="A309" t="s">
        <v>1906</v>
      </c>
    </row>
    <row r="310" spans="1:1" x14ac:dyDescent="0.25">
      <c r="A310" t="s">
        <v>2244</v>
      </c>
    </row>
    <row r="311" spans="1:1" x14ac:dyDescent="0.25">
      <c r="A311" t="s">
        <v>1906</v>
      </c>
    </row>
    <row r="312" spans="1:1" x14ac:dyDescent="0.25">
      <c r="A312" t="s">
        <v>2245</v>
      </c>
    </row>
    <row r="313" spans="1:1" x14ac:dyDescent="0.25">
      <c r="A313" t="s">
        <v>1906</v>
      </c>
    </row>
    <row r="314" spans="1:1" x14ac:dyDescent="0.25">
      <c r="A314" t="s">
        <v>2246</v>
      </c>
    </row>
    <row r="315" spans="1:1" x14ac:dyDescent="0.25">
      <c r="A315" t="s">
        <v>1906</v>
      </c>
    </row>
    <row r="316" spans="1:1" x14ac:dyDescent="0.25">
      <c r="A316" t="s">
        <v>2247</v>
      </c>
    </row>
    <row r="317" spans="1:1" x14ac:dyDescent="0.25">
      <c r="A317" t="s">
        <v>1906</v>
      </c>
    </row>
    <row r="318" spans="1:1" x14ac:dyDescent="0.25">
      <c r="A318" t="s">
        <v>2248</v>
      </c>
    </row>
    <row r="319" spans="1:1" x14ac:dyDescent="0.25">
      <c r="A319" t="s">
        <v>1906</v>
      </c>
    </row>
    <row r="320" spans="1:1" x14ac:dyDescent="0.25">
      <c r="A320" t="s">
        <v>2249</v>
      </c>
    </row>
    <row r="321" spans="1:1" x14ac:dyDescent="0.25">
      <c r="A321" t="s">
        <v>1906</v>
      </c>
    </row>
    <row r="322" spans="1:1" x14ac:dyDescent="0.25">
      <c r="A322" t="s">
        <v>2250</v>
      </c>
    </row>
    <row r="323" spans="1:1" x14ac:dyDescent="0.25">
      <c r="A323" t="s">
        <v>1906</v>
      </c>
    </row>
    <row r="324" spans="1:1" x14ac:dyDescent="0.25">
      <c r="A324" t="s">
        <v>2251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C936"/>
  <sheetViews>
    <sheetView workbookViewId="0"/>
  </sheetViews>
  <sheetFormatPr defaultRowHeight="11.25" x14ac:dyDescent="0.2"/>
  <cols>
    <col min="1" max="2" width="8.5703125" style="12" customWidth="1"/>
    <col min="3" max="3" width="67.28515625" style="12" bestFit="1" customWidth="1"/>
    <col min="4" max="234" width="9.140625" style="12"/>
    <col min="235" max="235" width="1.7109375" style="12" customWidth="1"/>
    <col min="236" max="236" width="6.42578125" style="12" customWidth="1"/>
    <col min="237" max="237" width="2" style="12" customWidth="1"/>
    <col min="238" max="238" width="1.5703125" style="12" customWidth="1"/>
    <col min="239" max="239" width="2" style="12" customWidth="1"/>
    <col min="240" max="240" width="3.140625" style="12" customWidth="1"/>
    <col min="241" max="241" width="1.7109375" style="12" customWidth="1"/>
    <col min="242" max="242" width="15.42578125" style="12" customWidth="1"/>
    <col min="243" max="243" width="2.85546875" style="12" customWidth="1"/>
    <col min="244" max="244" width="12.5703125" style="12" customWidth="1"/>
    <col min="245" max="245" width="1.85546875" style="12" customWidth="1"/>
    <col min="246" max="250" width="2.140625" style="12" customWidth="1"/>
    <col min="251" max="251" width="36.7109375" style="12" customWidth="1"/>
    <col min="252" max="252" width="2" style="12" customWidth="1"/>
    <col min="253" max="253" width="1.7109375" style="12" customWidth="1"/>
    <col min="254" max="254" width="1.85546875" style="12" customWidth="1"/>
    <col min="255" max="255" width="6.5703125" style="12" customWidth="1"/>
    <col min="256" max="256" width="1.7109375" style="12" customWidth="1"/>
    <col min="257" max="257" width="1.85546875" style="12" customWidth="1"/>
    <col min="258" max="258" width="8.140625" style="12" customWidth="1"/>
    <col min="259" max="490" width="9.140625" style="12"/>
    <col min="491" max="491" width="1.7109375" style="12" customWidth="1"/>
    <col min="492" max="492" width="6.42578125" style="12" customWidth="1"/>
    <col min="493" max="493" width="2" style="12" customWidth="1"/>
    <col min="494" max="494" width="1.5703125" style="12" customWidth="1"/>
    <col min="495" max="495" width="2" style="12" customWidth="1"/>
    <col min="496" max="496" width="3.140625" style="12" customWidth="1"/>
    <col min="497" max="497" width="1.7109375" style="12" customWidth="1"/>
    <col min="498" max="498" width="15.42578125" style="12" customWidth="1"/>
    <col min="499" max="499" width="2.85546875" style="12" customWidth="1"/>
    <col min="500" max="500" width="12.5703125" style="12" customWidth="1"/>
    <col min="501" max="501" width="1.85546875" style="12" customWidth="1"/>
    <col min="502" max="506" width="2.140625" style="12" customWidth="1"/>
    <col min="507" max="507" width="36.7109375" style="12" customWidth="1"/>
    <col min="508" max="508" width="2" style="12" customWidth="1"/>
    <col min="509" max="509" width="1.7109375" style="12" customWidth="1"/>
    <col min="510" max="510" width="1.85546875" style="12" customWidth="1"/>
    <col min="511" max="511" width="6.5703125" style="12" customWidth="1"/>
    <col min="512" max="512" width="1.7109375" style="12" customWidth="1"/>
    <col min="513" max="513" width="1.85546875" style="12" customWidth="1"/>
    <col min="514" max="514" width="8.140625" style="12" customWidth="1"/>
    <col min="515" max="746" width="9.140625" style="12"/>
    <col min="747" max="747" width="1.7109375" style="12" customWidth="1"/>
    <col min="748" max="748" width="6.42578125" style="12" customWidth="1"/>
    <col min="749" max="749" width="2" style="12" customWidth="1"/>
    <col min="750" max="750" width="1.5703125" style="12" customWidth="1"/>
    <col min="751" max="751" width="2" style="12" customWidth="1"/>
    <col min="752" max="752" width="3.140625" style="12" customWidth="1"/>
    <col min="753" max="753" width="1.7109375" style="12" customWidth="1"/>
    <col min="754" max="754" width="15.42578125" style="12" customWidth="1"/>
    <col min="755" max="755" width="2.85546875" style="12" customWidth="1"/>
    <col min="756" max="756" width="12.5703125" style="12" customWidth="1"/>
    <col min="757" max="757" width="1.85546875" style="12" customWidth="1"/>
    <col min="758" max="762" width="2.140625" style="12" customWidth="1"/>
    <col min="763" max="763" width="36.7109375" style="12" customWidth="1"/>
    <col min="764" max="764" width="2" style="12" customWidth="1"/>
    <col min="765" max="765" width="1.7109375" style="12" customWidth="1"/>
    <col min="766" max="766" width="1.85546875" style="12" customWidth="1"/>
    <col min="767" max="767" width="6.5703125" style="12" customWidth="1"/>
    <col min="768" max="768" width="1.7109375" style="12" customWidth="1"/>
    <col min="769" max="769" width="1.85546875" style="12" customWidth="1"/>
    <col min="770" max="770" width="8.140625" style="12" customWidth="1"/>
    <col min="771" max="1002" width="9.140625" style="12"/>
    <col min="1003" max="1003" width="1.7109375" style="12" customWidth="1"/>
    <col min="1004" max="1004" width="6.42578125" style="12" customWidth="1"/>
    <col min="1005" max="1005" width="2" style="12" customWidth="1"/>
    <col min="1006" max="1006" width="1.5703125" style="12" customWidth="1"/>
    <col min="1007" max="1007" width="2" style="12" customWidth="1"/>
    <col min="1008" max="1008" width="3.140625" style="12" customWidth="1"/>
    <col min="1009" max="1009" width="1.7109375" style="12" customWidth="1"/>
    <col min="1010" max="1010" width="15.42578125" style="12" customWidth="1"/>
    <col min="1011" max="1011" width="2.85546875" style="12" customWidth="1"/>
    <col min="1012" max="1012" width="12.5703125" style="12" customWidth="1"/>
    <col min="1013" max="1013" width="1.85546875" style="12" customWidth="1"/>
    <col min="1014" max="1018" width="2.140625" style="12" customWidth="1"/>
    <col min="1019" max="1019" width="36.7109375" style="12" customWidth="1"/>
    <col min="1020" max="1020" width="2" style="12" customWidth="1"/>
    <col min="1021" max="1021" width="1.7109375" style="12" customWidth="1"/>
    <col min="1022" max="1022" width="1.85546875" style="12" customWidth="1"/>
    <col min="1023" max="1023" width="6.5703125" style="12" customWidth="1"/>
    <col min="1024" max="1024" width="1.7109375" style="12" customWidth="1"/>
    <col min="1025" max="1025" width="1.85546875" style="12" customWidth="1"/>
    <col min="1026" max="1026" width="8.140625" style="12" customWidth="1"/>
    <col min="1027" max="1258" width="9.140625" style="12"/>
    <col min="1259" max="1259" width="1.7109375" style="12" customWidth="1"/>
    <col min="1260" max="1260" width="6.42578125" style="12" customWidth="1"/>
    <col min="1261" max="1261" width="2" style="12" customWidth="1"/>
    <col min="1262" max="1262" width="1.5703125" style="12" customWidth="1"/>
    <col min="1263" max="1263" width="2" style="12" customWidth="1"/>
    <col min="1264" max="1264" width="3.140625" style="12" customWidth="1"/>
    <col min="1265" max="1265" width="1.7109375" style="12" customWidth="1"/>
    <col min="1266" max="1266" width="15.42578125" style="12" customWidth="1"/>
    <col min="1267" max="1267" width="2.85546875" style="12" customWidth="1"/>
    <col min="1268" max="1268" width="12.5703125" style="12" customWidth="1"/>
    <col min="1269" max="1269" width="1.85546875" style="12" customWidth="1"/>
    <col min="1270" max="1274" width="2.140625" style="12" customWidth="1"/>
    <col min="1275" max="1275" width="36.7109375" style="12" customWidth="1"/>
    <col min="1276" max="1276" width="2" style="12" customWidth="1"/>
    <col min="1277" max="1277" width="1.7109375" style="12" customWidth="1"/>
    <col min="1278" max="1278" width="1.85546875" style="12" customWidth="1"/>
    <col min="1279" max="1279" width="6.5703125" style="12" customWidth="1"/>
    <col min="1280" max="1280" width="1.7109375" style="12" customWidth="1"/>
    <col min="1281" max="1281" width="1.85546875" style="12" customWidth="1"/>
    <col min="1282" max="1282" width="8.140625" style="12" customWidth="1"/>
    <col min="1283" max="1514" width="9.140625" style="12"/>
    <col min="1515" max="1515" width="1.7109375" style="12" customWidth="1"/>
    <col min="1516" max="1516" width="6.42578125" style="12" customWidth="1"/>
    <col min="1517" max="1517" width="2" style="12" customWidth="1"/>
    <col min="1518" max="1518" width="1.5703125" style="12" customWidth="1"/>
    <col min="1519" max="1519" width="2" style="12" customWidth="1"/>
    <col min="1520" max="1520" width="3.140625" style="12" customWidth="1"/>
    <col min="1521" max="1521" width="1.7109375" style="12" customWidth="1"/>
    <col min="1522" max="1522" width="15.42578125" style="12" customWidth="1"/>
    <col min="1523" max="1523" width="2.85546875" style="12" customWidth="1"/>
    <col min="1524" max="1524" width="12.5703125" style="12" customWidth="1"/>
    <col min="1525" max="1525" width="1.85546875" style="12" customWidth="1"/>
    <col min="1526" max="1530" width="2.140625" style="12" customWidth="1"/>
    <col min="1531" max="1531" width="36.7109375" style="12" customWidth="1"/>
    <col min="1532" max="1532" width="2" style="12" customWidth="1"/>
    <col min="1533" max="1533" width="1.7109375" style="12" customWidth="1"/>
    <col min="1534" max="1534" width="1.85546875" style="12" customWidth="1"/>
    <col min="1535" max="1535" width="6.5703125" style="12" customWidth="1"/>
    <col min="1536" max="1536" width="1.7109375" style="12" customWidth="1"/>
    <col min="1537" max="1537" width="1.85546875" style="12" customWidth="1"/>
    <col min="1538" max="1538" width="8.140625" style="12" customWidth="1"/>
    <col min="1539" max="1770" width="9.140625" style="12"/>
    <col min="1771" max="1771" width="1.7109375" style="12" customWidth="1"/>
    <col min="1772" max="1772" width="6.42578125" style="12" customWidth="1"/>
    <col min="1773" max="1773" width="2" style="12" customWidth="1"/>
    <col min="1774" max="1774" width="1.5703125" style="12" customWidth="1"/>
    <col min="1775" max="1775" width="2" style="12" customWidth="1"/>
    <col min="1776" max="1776" width="3.140625" style="12" customWidth="1"/>
    <col min="1777" max="1777" width="1.7109375" style="12" customWidth="1"/>
    <col min="1778" max="1778" width="15.42578125" style="12" customWidth="1"/>
    <col min="1779" max="1779" width="2.85546875" style="12" customWidth="1"/>
    <col min="1780" max="1780" width="12.5703125" style="12" customWidth="1"/>
    <col min="1781" max="1781" width="1.85546875" style="12" customWidth="1"/>
    <col min="1782" max="1786" width="2.140625" style="12" customWidth="1"/>
    <col min="1787" max="1787" width="36.7109375" style="12" customWidth="1"/>
    <col min="1788" max="1788" width="2" style="12" customWidth="1"/>
    <col min="1789" max="1789" width="1.7109375" style="12" customWidth="1"/>
    <col min="1790" max="1790" width="1.85546875" style="12" customWidth="1"/>
    <col min="1791" max="1791" width="6.5703125" style="12" customWidth="1"/>
    <col min="1792" max="1792" width="1.7109375" style="12" customWidth="1"/>
    <col min="1793" max="1793" width="1.85546875" style="12" customWidth="1"/>
    <col min="1794" max="1794" width="8.140625" style="12" customWidth="1"/>
    <col min="1795" max="2026" width="9.140625" style="12"/>
    <col min="2027" max="2027" width="1.7109375" style="12" customWidth="1"/>
    <col min="2028" max="2028" width="6.42578125" style="12" customWidth="1"/>
    <col min="2029" max="2029" width="2" style="12" customWidth="1"/>
    <col min="2030" max="2030" width="1.5703125" style="12" customWidth="1"/>
    <col min="2031" max="2031" width="2" style="12" customWidth="1"/>
    <col min="2032" max="2032" width="3.140625" style="12" customWidth="1"/>
    <col min="2033" max="2033" width="1.7109375" style="12" customWidth="1"/>
    <col min="2034" max="2034" width="15.42578125" style="12" customWidth="1"/>
    <col min="2035" max="2035" width="2.85546875" style="12" customWidth="1"/>
    <col min="2036" max="2036" width="12.5703125" style="12" customWidth="1"/>
    <col min="2037" max="2037" width="1.85546875" style="12" customWidth="1"/>
    <col min="2038" max="2042" width="2.140625" style="12" customWidth="1"/>
    <col min="2043" max="2043" width="36.7109375" style="12" customWidth="1"/>
    <col min="2044" max="2044" width="2" style="12" customWidth="1"/>
    <col min="2045" max="2045" width="1.7109375" style="12" customWidth="1"/>
    <col min="2046" max="2046" width="1.85546875" style="12" customWidth="1"/>
    <col min="2047" max="2047" width="6.5703125" style="12" customWidth="1"/>
    <col min="2048" max="2048" width="1.7109375" style="12" customWidth="1"/>
    <col min="2049" max="2049" width="1.85546875" style="12" customWidth="1"/>
    <col min="2050" max="2050" width="8.140625" style="12" customWidth="1"/>
    <col min="2051" max="2282" width="9.140625" style="12"/>
    <col min="2283" max="2283" width="1.7109375" style="12" customWidth="1"/>
    <col min="2284" max="2284" width="6.42578125" style="12" customWidth="1"/>
    <col min="2285" max="2285" width="2" style="12" customWidth="1"/>
    <col min="2286" max="2286" width="1.5703125" style="12" customWidth="1"/>
    <col min="2287" max="2287" width="2" style="12" customWidth="1"/>
    <col min="2288" max="2288" width="3.140625" style="12" customWidth="1"/>
    <col min="2289" max="2289" width="1.7109375" style="12" customWidth="1"/>
    <col min="2290" max="2290" width="15.42578125" style="12" customWidth="1"/>
    <col min="2291" max="2291" width="2.85546875" style="12" customWidth="1"/>
    <col min="2292" max="2292" width="12.5703125" style="12" customWidth="1"/>
    <col min="2293" max="2293" width="1.85546875" style="12" customWidth="1"/>
    <col min="2294" max="2298" width="2.140625" style="12" customWidth="1"/>
    <col min="2299" max="2299" width="36.7109375" style="12" customWidth="1"/>
    <col min="2300" max="2300" width="2" style="12" customWidth="1"/>
    <col min="2301" max="2301" width="1.7109375" style="12" customWidth="1"/>
    <col min="2302" max="2302" width="1.85546875" style="12" customWidth="1"/>
    <col min="2303" max="2303" width="6.5703125" style="12" customWidth="1"/>
    <col min="2304" max="2304" width="1.7109375" style="12" customWidth="1"/>
    <col min="2305" max="2305" width="1.85546875" style="12" customWidth="1"/>
    <col min="2306" max="2306" width="8.140625" style="12" customWidth="1"/>
    <col min="2307" max="2538" width="9.140625" style="12"/>
    <col min="2539" max="2539" width="1.7109375" style="12" customWidth="1"/>
    <col min="2540" max="2540" width="6.42578125" style="12" customWidth="1"/>
    <col min="2541" max="2541" width="2" style="12" customWidth="1"/>
    <col min="2542" max="2542" width="1.5703125" style="12" customWidth="1"/>
    <col min="2543" max="2543" width="2" style="12" customWidth="1"/>
    <col min="2544" max="2544" width="3.140625" style="12" customWidth="1"/>
    <col min="2545" max="2545" width="1.7109375" style="12" customWidth="1"/>
    <col min="2546" max="2546" width="15.42578125" style="12" customWidth="1"/>
    <col min="2547" max="2547" width="2.85546875" style="12" customWidth="1"/>
    <col min="2548" max="2548" width="12.5703125" style="12" customWidth="1"/>
    <col min="2549" max="2549" width="1.85546875" style="12" customWidth="1"/>
    <col min="2550" max="2554" width="2.140625" style="12" customWidth="1"/>
    <col min="2555" max="2555" width="36.7109375" style="12" customWidth="1"/>
    <col min="2556" max="2556" width="2" style="12" customWidth="1"/>
    <col min="2557" max="2557" width="1.7109375" style="12" customWidth="1"/>
    <col min="2558" max="2558" width="1.85546875" style="12" customWidth="1"/>
    <col min="2559" max="2559" width="6.5703125" style="12" customWidth="1"/>
    <col min="2560" max="2560" width="1.7109375" style="12" customWidth="1"/>
    <col min="2561" max="2561" width="1.85546875" style="12" customWidth="1"/>
    <col min="2562" max="2562" width="8.140625" style="12" customWidth="1"/>
    <col min="2563" max="2794" width="9.140625" style="12"/>
    <col min="2795" max="2795" width="1.7109375" style="12" customWidth="1"/>
    <col min="2796" max="2796" width="6.42578125" style="12" customWidth="1"/>
    <col min="2797" max="2797" width="2" style="12" customWidth="1"/>
    <col min="2798" max="2798" width="1.5703125" style="12" customWidth="1"/>
    <col min="2799" max="2799" width="2" style="12" customWidth="1"/>
    <col min="2800" max="2800" width="3.140625" style="12" customWidth="1"/>
    <col min="2801" max="2801" width="1.7109375" style="12" customWidth="1"/>
    <col min="2802" max="2802" width="15.42578125" style="12" customWidth="1"/>
    <col min="2803" max="2803" width="2.85546875" style="12" customWidth="1"/>
    <col min="2804" max="2804" width="12.5703125" style="12" customWidth="1"/>
    <col min="2805" max="2805" width="1.85546875" style="12" customWidth="1"/>
    <col min="2806" max="2810" width="2.140625" style="12" customWidth="1"/>
    <col min="2811" max="2811" width="36.7109375" style="12" customWidth="1"/>
    <col min="2812" max="2812" width="2" style="12" customWidth="1"/>
    <col min="2813" max="2813" width="1.7109375" style="12" customWidth="1"/>
    <col min="2814" max="2814" width="1.85546875" style="12" customWidth="1"/>
    <col min="2815" max="2815" width="6.5703125" style="12" customWidth="1"/>
    <col min="2816" max="2816" width="1.7109375" style="12" customWidth="1"/>
    <col min="2817" max="2817" width="1.85546875" style="12" customWidth="1"/>
    <col min="2818" max="2818" width="8.140625" style="12" customWidth="1"/>
    <col min="2819" max="3050" width="9.140625" style="12"/>
    <col min="3051" max="3051" width="1.7109375" style="12" customWidth="1"/>
    <col min="3052" max="3052" width="6.42578125" style="12" customWidth="1"/>
    <col min="3053" max="3053" width="2" style="12" customWidth="1"/>
    <col min="3054" max="3054" width="1.5703125" style="12" customWidth="1"/>
    <col min="3055" max="3055" width="2" style="12" customWidth="1"/>
    <col min="3056" max="3056" width="3.140625" style="12" customWidth="1"/>
    <col min="3057" max="3057" width="1.7109375" style="12" customWidth="1"/>
    <col min="3058" max="3058" width="15.42578125" style="12" customWidth="1"/>
    <col min="3059" max="3059" width="2.85546875" style="12" customWidth="1"/>
    <col min="3060" max="3060" width="12.5703125" style="12" customWidth="1"/>
    <col min="3061" max="3061" width="1.85546875" style="12" customWidth="1"/>
    <col min="3062" max="3066" width="2.140625" style="12" customWidth="1"/>
    <col min="3067" max="3067" width="36.7109375" style="12" customWidth="1"/>
    <col min="3068" max="3068" width="2" style="12" customWidth="1"/>
    <col min="3069" max="3069" width="1.7109375" style="12" customWidth="1"/>
    <col min="3070" max="3070" width="1.85546875" style="12" customWidth="1"/>
    <col min="3071" max="3071" width="6.5703125" style="12" customWidth="1"/>
    <col min="3072" max="3072" width="1.7109375" style="12" customWidth="1"/>
    <col min="3073" max="3073" width="1.85546875" style="12" customWidth="1"/>
    <col min="3074" max="3074" width="8.140625" style="12" customWidth="1"/>
    <col min="3075" max="3306" width="9.140625" style="12"/>
    <col min="3307" max="3307" width="1.7109375" style="12" customWidth="1"/>
    <col min="3308" max="3308" width="6.42578125" style="12" customWidth="1"/>
    <col min="3309" max="3309" width="2" style="12" customWidth="1"/>
    <col min="3310" max="3310" width="1.5703125" style="12" customWidth="1"/>
    <col min="3311" max="3311" width="2" style="12" customWidth="1"/>
    <col min="3312" max="3312" width="3.140625" style="12" customWidth="1"/>
    <col min="3313" max="3313" width="1.7109375" style="12" customWidth="1"/>
    <col min="3314" max="3314" width="15.42578125" style="12" customWidth="1"/>
    <col min="3315" max="3315" width="2.85546875" style="12" customWidth="1"/>
    <col min="3316" max="3316" width="12.5703125" style="12" customWidth="1"/>
    <col min="3317" max="3317" width="1.85546875" style="12" customWidth="1"/>
    <col min="3318" max="3322" width="2.140625" style="12" customWidth="1"/>
    <col min="3323" max="3323" width="36.7109375" style="12" customWidth="1"/>
    <col min="3324" max="3324" width="2" style="12" customWidth="1"/>
    <col min="3325" max="3325" width="1.7109375" style="12" customWidth="1"/>
    <col min="3326" max="3326" width="1.85546875" style="12" customWidth="1"/>
    <col min="3327" max="3327" width="6.5703125" style="12" customWidth="1"/>
    <col min="3328" max="3328" width="1.7109375" style="12" customWidth="1"/>
    <col min="3329" max="3329" width="1.85546875" style="12" customWidth="1"/>
    <col min="3330" max="3330" width="8.140625" style="12" customWidth="1"/>
    <col min="3331" max="3562" width="9.140625" style="12"/>
    <col min="3563" max="3563" width="1.7109375" style="12" customWidth="1"/>
    <col min="3564" max="3564" width="6.42578125" style="12" customWidth="1"/>
    <col min="3565" max="3565" width="2" style="12" customWidth="1"/>
    <col min="3566" max="3566" width="1.5703125" style="12" customWidth="1"/>
    <col min="3567" max="3567" width="2" style="12" customWidth="1"/>
    <col min="3568" max="3568" width="3.140625" style="12" customWidth="1"/>
    <col min="3569" max="3569" width="1.7109375" style="12" customWidth="1"/>
    <col min="3570" max="3570" width="15.42578125" style="12" customWidth="1"/>
    <col min="3571" max="3571" width="2.85546875" style="12" customWidth="1"/>
    <col min="3572" max="3572" width="12.5703125" style="12" customWidth="1"/>
    <col min="3573" max="3573" width="1.85546875" style="12" customWidth="1"/>
    <col min="3574" max="3578" width="2.140625" style="12" customWidth="1"/>
    <col min="3579" max="3579" width="36.7109375" style="12" customWidth="1"/>
    <col min="3580" max="3580" width="2" style="12" customWidth="1"/>
    <col min="3581" max="3581" width="1.7109375" style="12" customWidth="1"/>
    <col min="3582" max="3582" width="1.85546875" style="12" customWidth="1"/>
    <col min="3583" max="3583" width="6.5703125" style="12" customWidth="1"/>
    <col min="3584" max="3584" width="1.7109375" style="12" customWidth="1"/>
    <col min="3585" max="3585" width="1.85546875" style="12" customWidth="1"/>
    <col min="3586" max="3586" width="8.140625" style="12" customWidth="1"/>
    <col min="3587" max="3818" width="9.140625" style="12"/>
    <col min="3819" max="3819" width="1.7109375" style="12" customWidth="1"/>
    <col min="3820" max="3820" width="6.42578125" style="12" customWidth="1"/>
    <col min="3821" max="3821" width="2" style="12" customWidth="1"/>
    <col min="3822" max="3822" width="1.5703125" style="12" customWidth="1"/>
    <col min="3823" max="3823" width="2" style="12" customWidth="1"/>
    <col min="3824" max="3824" width="3.140625" style="12" customWidth="1"/>
    <col min="3825" max="3825" width="1.7109375" style="12" customWidth="1"/>
    <col min="3826" max="3826" width="15.42578125" style="12" customWidth="1"/>
    <col min="3827" max="3827" width="2.85546875" style="12" customWidth="1"/>
    <col min="3828" max="3828" width="12.5703125" style="12" customWidth="1"/>
    <col min="3829" max="3829" width="1.85546875" style="12" customWidth="1"/>
    <col min="3830" max="3834" width="2.140625" style="12" customWidth="1"/>
    <col min="3835" max="3835" width="36.7109375" style="12" customWidth="1"/>
    <col min="3836" max="3836" width="2" style="12" customWidth="1"/>
    <col min="3837" max="3837" width="1.7109375" style="12" customWidth="1"/>
    <col min="3838" max="3838" width="1.85546875" style="12" customWidth="1"/>
    <col min="3839" max="3839" width="6.5703125" style="12" customWidth="1"/>
    <col min="3840" max="3840" width="1.7109375" style="12" customWidth="1"/>
    <col min="3841" max="3841" width="1.85546875" style="12" customWidth="1"/>
    <col min="3842" max="3842" width="8.140625" style="12" customWidth="1"/>
    <col min="3843" max="4074" width="9.140625" style="12"/>
    <col min="4075" max="4075" width="1.7109375" style="12" customWidth="1"/>
    <col min="4076" max="4076" width="6.42578125" style="12" customWidth="1"/>
    <col min="4077" max="4077" width="2" style="12" customWidth="1"/>
    <col min="4078" max="4078" width="1.5703125" style="12" customWidth="1"/>
    <col min="4079" max="4079" width="2" style="12" customWidth="1"/>
    <col min="4080" max="4080" width="3.140625" style="12" customWidth="1"/>
    <col min="4081" max="4081" width="1.7109375" style="12" customWidth="1"/>
    <col min="4082" max="4082" width="15.42578125" style="12" customWidth="1"/>
    <col min="4083" max="4083" width="2.85546875" style="12" customWidth="1"/>
    <col min="4084" max="4084" width="12.5703125" style="12" customWidth="1"/>
    <col min="4085" max="4085" width="1.85546875" style="12" customWidth="1"/>
    <col min="4086" max="4090" width="2.140625" style="12" customWidth="1"/>
    <col min="4091" max="4091" width="36.7109375" style="12" customWidth="1"/>
    <col min="4092" max="4092" width="2" style="12" customWidth="1"/>
    <col min="4093" max="4093" width="1.7109375" style="12" customWidth="1"/>
    <col min="4094" max="4094" width="1.85546875" style="12" customWidth="1"/>
    <col min="4095" max="4095" width="6.5703125" style="12" customWidth="1"/>
    <col min="4096" max="4096" width="1.7109375" style="12" customWidth="1"/>
    <col min="4097" max="4097" width="1.85546875" style="12" customWidth="1"/>
    <col min="4098" max="4098" width="8.140625" style="12" customWidth="1"/>
    <col min="4099" max="4330" width="9.140625" style="12"/>
    <col min="4331" max="4331" width="1.7109375" style="12" customWidth="1"/>
    <col min="4332" max="4332" width="6.42578125" style="12" customWidth="1"/>
    <col min="4333" max="4333" width="2" style="12" customWidth="1"/>
    <col min="4334" max="4334" width="1.5703125" style="12" customWidth="1"/>
    <col min="4335" max="4335" width="2" style="12" customWidth="1"/>
    <col min="4336" max="4336" width="3.140625" style="12" customWidth="1"/>
    <col min="4337" max="4337" width="1.7109375" style="12" customWidth="1"/>
    <col min="4338" max="4338" width="15.42578125" style="12" customWidth="1"/>
    <col min="4339" max="4339" width="2.85546875" style="12" customWidth="1"/>
    <col min="4340" max="4340" width="12.5703125" style="12" customWidth="1"/>
    <col min="4341" max="4341" width="1.85546875" style="12" customWidth="1"/>
    <col min="4342" max="4346" width="2.140625" style="12" customWidth="1"/>
    <col min="4347" max="4347" width="36.7109375" style="12" customWidth="1"/>
    <col min="4348" max="4348" width="2" style="12" customWidth="1"/>
    <col min="4349" max="4349" width="1.7109375" style="12" customWidth="1"/>
    <col min="4350" max="4350" width="1.85546875" style="12" customWidth="1"/>
    <col min="4351" max="4351" width="6.5703125" style="12" customWidth="1"/>
    <col min="4352" max="4352" width="1.7109375" style="12" customWidth="1"/>
    <col min="4353" max="4353" width="1.85546875" style="12" customWidth="1"/>
    <col min="4354" max="4354" width="8.140625" style="12" customWidth="1"/>
    <col min="4355" max="4586" width="9.140625" style="12"/>
    <col min="4587" max="4587" width="1.7109375" style="12" customWidth="1"/>
    <col min="4588" max="4588" width="6.42578125" style="12" customWidth="1"/>
    <col min="4589" max="4589" width="2" style="12" customWidth="1"/>
    <col min="4590" max="4590" width="1.5703125" style="12" customWidth="1"/>
    <col min="4591" max="4591" width="2" style="12" customWidth="1"/>
    <col min="4592" max="4592" width="3.140625" style="12" customWidth="1"/>
    <col min="4593" max="4593" width="1.7109375" style="12" customWidth="1"/>
    <col min="4594" max="4594" width="15.42578125" style="12" customWidth="1"/>
    <col min="4595" max="4595" width="2.85546875" style="12" customWidth="1"/>
    <col min="4596" max="4596" width="12.5703125" style="12" customWidth="1"/>
    <col min="4597" max="4597" width="1.85546875" style="12" customWidth="1"/>
    <col min="4598" max="4602" width="2.140625" style="12" customWidth="1"/>
    <col min="4603" max="4603" width="36.7109375" style="12" customWidth="1"/>
    <col min="4604" max="4604" width="2" style="12" customWidth="1"/>
    <col min="4605" max="4605" width="1.7109375" style="12" customWidth="1"/>
    <col min="4606" max="4606" width="1.85546875" style="12" customWidth="1"/>
    <col min="4607" max="4607" width="6.5703125" style="12" customWidth="1"/>
    <col min="4608" max="4608" width="1.7109375" style="12" customWidth="1"/>
    <col min="4609" max="4609" width="1.85546875" style="12" customWidth="1"/>
    <col min="4610" max="4610" width="8.140625" style="12" customWidth="1"/>
    <col min="4611" max="4842" width="9.140625" style="12"/>
    <col min="4843" max="4843" width="1.7109375" style="12" customWidth="1"/>
    <col min="4844" max="4844" width="6.42578125" style="12" customWidth="1"/>
    <col min="4845" max="4845" width="2" style="12" customWidth="1"/>
    <col min="4846" max="4846" width="1.5703125" style="12" customWidth="1"/>
    <col min="4847" max="4847" width="2" style="12" customWidth="1"/>
    <col min="4848" max="4848" width="3.140625" style="12" customWidth="1"/>
    <col min="4849" max="4849" width="1.7109375" style="12" customWidth="1"/>
    <col min="4850" max="4850" width="15.42578125" style="12" customWidth="1"/>
    <col min="4851" max="4851" width="2.85546875" style="12" customWidth="1"/>
    <col min="4852" max="4852" width="12.5703125" style="12" customWidth="1"/>
    <col min="4853" max="4853" width="1.85546875" style="12" customWidth="1"/>
    <col min="4854" max="4858" width="2.140625" style="12" customWidth="1"/>
    <col min="4859" max="4859" width="36.7109375" style="12" customWidth="1"/>
    <col min="4860" max="4860" width="2" style="12" customWidth="1"/>
    <col min="4861" max="4861" width="1.7109375" style="12" customWidth="1"/>
    <col min="4862" max="4862" width="1.85546875" style="12" customWidth="1"/>
    <col min="4863" max="4863" width="6.5703125" style="12" customWidth="1"/>
    <col min="4864" max="4864" width="1.7109375" style="12" customWidth="1"/>
    <col min="4865" max="4865" width="1.85546875" style="12" customWidth="1"/>
    <col min="4866" max="4866" width="8.140625" style="12" customWidth="1"/>
    <col min="4867" max="5098" width="9.140625" style="12"/>
    <col min="5099" max="5099" width="1.7109375" style="12" customWidth="1"/>
    <col min="5100" max="5100" width="6.42578125" style="12" customWidth="1"/>
    <col min="5101" max="5101" width="2" style="12" customWidth="1"/>
    <col min="5102" max="5102" width="1.5703125" style="12" customWidth="1"/>
    <col min="5103" max="5103" width="2" style="12" customWidth="1"/>
    <col min="5104" max="5104" width="3.140625" style="12" customWidth="1"/>
    <col min="5105" max="5105" width="1.7109375" style="12" customWidth="1"/>
    <col min="5106" max="5106" width="15.42578125" style="12" customWidth="1"/>
    <col min="5107" max="5107" width="2.85546875" style="12" customWidth="1"/>
    <col min="5108" max="5108" width="12.5703125" style="12" customWidth="1"/>
    <col min="5109" max="5109" width="1.85546875" style="12" customWidth="1"/>
    <col min="5110" max="5114" width="2.140625" style="12" customWidth="1"/>
    <col min="5115" max="5115" width="36.7109375" style="12" customWidth="1"/>
    <col min="5116" max="5116" width="2" style="12" customWidth="1"/>
    <col min="5117" max="5117" width="1.7109375" style="12" customWidth="1"/>
    <col min="5118" max="5118" width="1.85546875" style="12" customWidth="1"/>
    <col min="5119" max="5119" width="6.5703125" style="12" customWidth="1"/>
    <col min="5120" max="5120" width="1.7109375" style="12" customWidth="1"/>
    <col min="5121" max="5121" width="1.85546875" style="12" customWidth="1"/>
    <col min="5122" max="5122" width="8.140625" style="12" customWidth="1"/>
    <col min="5123" max="5354" width="9.140625" style="12"/>
    <col min="5355" max="5355" width="1.7109375" style="12" customWidth="1"/>
    <col min="5356" max="5356" width="6.42578125" style="12" customWidth="1"/>
    <col min="5357" max="5357" width="2" style="12" customWidth="1"/>
    <col min="5358" max="5358" width="1.5703125" style="12" customWidth="1"/>
    <col min="5359" max="5359" width="2" style="12" customWidth="1"/>
    <col min="5360" max="5360" width="3.140625" style="12" customWidth="1"/>
    <col min="5361" max="5361" width="1.7109375" style="12" customWidth="1"/>
    <col min="5362" max="5362" width="15.42578125" style="12" customWidth="1"/>
    <col min="5363" max="5363" width="2.85546875" style="12" customWidth="1"/>
    <col min="5364" max="5364" width="12.5703125" style="12" customWidth="1"/>
    <col min="5365" max="5365" width="1.85546875" style="12" customWidth="1"/>
    <col min="5366" max="5370" width="2.140625" style="12" customWidth="1"/>
    <col min="5371" max="5371" width="36.7109375" style="12" customWidth="1"/>
    <col min="5372" max="5372" width="2" style="12" customWidth="1"/>
    <col min="5373" max="5373" width="1.7109375" style="12" customWidth="1"/>
    <col min="5374" max="5374" width="1.85546875" style="12" customWidth="1"/>
    <col min="5375" max="5375" width="6.5703125" style="12" customWidth="1"/>
    <col min="5376" max="5376" width="1.7109375" style="12" customWidth="1"/>
    <col min="5377" max="5377" width="1.85546875" style="12" customWidth="1"/>
    <col min="5378" max="5378" width="8.140625" style="12" customWidth="1"/>
    <col min="5379" max="5610" width="9.140625" style="12"/>
    <col min="5611" max="5611" width="1.7109375" style="12" customWidth="1"/>
    <col min="5612" max="5612" width="6.42578125" style="12" customWidth="1"/>
    <col min="5613" max="5613" width="2" style="12" customWidth="1"/>
    <col min="5614" max="5614" width="1.5703125" style="12" customWidth="1"/>
    <col min="5615" max="5615" width="2" style="12" customWidth="1"/>
    <col min="5616" max="5616" width="3.140625" style="12" customWidth="1"/>
    <col min="5617" max="5617" width="1.7109375" style="12" customWidth="1"/>
    <col min="5618" max="5618" width="15.42578125" style="12" customWidth="1"/>
    <col min="5619" max="5619" width="2.85546875" style="12" customWidth="1"/>
    <col min="5620" max="5620" width="12.5703125" style="12" customWidth="1"/>
    <col min="5621" max="5621" width="1.85546875" style="12" customWidth="1"/>
    <col min="5622" max="5626" width="2.140625" style="12" customWidth="1"/>
    <col min="5627" max="5627" width="36.7109375" style="12" customWidth="1"/>
    <col min="5628" max="5628" width="2" style="12" customWidth="1"/>
    <col min="5629" max="5629" width="1.7109375" style="12" customWidth="1"/>
    <col min="5630" max="5630" width="1.85546875" style="12" customWidth="1"/>
    <col min="5631" max="5631" width="6.5703125" style="12" customWidth="1"/>
    <col min="5632" max="5632" width="1.7109375" style="12" customWidth="1"/>
    <col min="5633" max="5633" width="1.85546875" style="12" customWidth="1"/>
    <col min="5634" max="5634" width="8.140625" style="12" customWidth="1"/>
    <col min="5635" max="5866" width="9.140625" style="12"/>
    <col min="5867" max="5867" width="1.7109375" style="12" customWidth="1"/>
    <col min="5868" max="5868" width="6.42578125" style="12" customWidth="1"/>
    <col min="5869" max="5869" width="2" style="12" customWidth="1"/>
    <col min="5870" max="5870" width="1.5703125" style="12" customWidth="1"/>
    <col min="5871" max="5871" width="2" style="12" customWidth="1"/>
    <col min="5872" max="5872" width="3.140625" style="12" customWidth="1"/>
    <col min="5873" max="5873" width="1.7109375" style="12" customWidth="1"/>
    <col min="5874" max="5874" width="15.42578125" style="12" customWidth="1"/>
    <col min="5875" max="5875" width="2.85546875" style="12" customWidth="1"/>
    <col min="5876" max="5876" width="12.5703125" style="12" customWidth="1"/>
    <col min="5877" max="5877" width="1.85546875" style="12" customWidth="1"/>
    <col min="5878" max="5882" width="2.140625" style="12" customWidth="1"/>
    <col min="5883" max="5883" width="36.7109375" style="12" customWidth="1"/>
    <col min="5884" max="5884" width="2" style="12" customWidth="1"/>
    <col min="5885" max="5885" width="1.7109375" style="12" customWidth="1"/>
    <col min="5886" max="5886" width="1.85546875" style="12" customWidth="1"/>
    <col min="5887" max="5887" width="6.5703125" style="12" customWidth="1"/>
    <col min="5888" max="5888" width="1.7109375" style="12" customWidth="1"/>
    <col min="5889" max="5889" width="1.85546875" style="12" customWidth="1"/>
    <col min="5890" max="5890" width="8.140625" style="12" customWidth="1"/>
    <col min="5891" max="6122" width="9.140625" style="12"/>
    <col min="6123" max="6123" width="1.7109375" style="12" customWidth="1"/>
    <col min="6124" max="6124" width="6.42578125" style="12" customWidth="1"/>
    <col min="6125" max="6125" width="2" style="12" customWidth="1"/>
    <col min="6126" max="6126" width="1.5703125" style="12" customWidth="1"/>
    <col min="6127" max="6127" width="2" style="12" customWidth="1"/>
    <col min="6128" max="6128" width="3.140625" style="12" customWidth="1"/>
    <col min="6129" max="6129" width="1.7109375" style="12" customWidth="1"/>
    <col min="6130" max="6130" width="15.42578125" style="12" customWidth="1"/>
    <col min="6131" max="6131" width="2.85546875" style="12" customWidth="1"/>
    <col min="6132" max="6132" width="12.5703125" style="12" customWidth="1"/>
    <col min="6133" max="6133" width="1.85546875" style="12" customWidth="1"/>
    <col min="6134" max="6138" width="2.140625" style="12" customWidth="1"/>
    <col min="6139" max="6139" width="36.7109375" style="12" customWidth="1"/>
    <col min="6140" max="6140" width="2" style="12" customWidth="1"/>
    <col min="6141" max="6141" width="1.7109375" style="12" customWidth="1"/>
    <col min="6142" max="6142" width="1.85546875" style="12" customWidth="1"/>
    <col min="6143" max="6143" width="6.5703125" style="12" customWidth="1"/>
    <col min="6144" max="6144" width="1.7109375" style="12" customWidth="1"/>
    <col min="6145" max="6145" width="1.85546875" style="12" customWidth="1"/>
    <col min="6146" max="6146" width="8.140625" style="12" customWidth="1"/>
    <col min="6147" max="6378" width="9.140625" style="12"/>
    <col min="6379" max="6379" width="1.7109375" style="12" customWidth="1"/>
    <col min="6380" max="6380" width="6.42578125" style="12" customWidth="1"/>
    <col min="6381" max="6381" width="2" style="12" customWidth="1"/>
    <col min="6382" max="6382" width="1.5703125" style="12" customWidth="1"/>
    <col min="6383" max="6383" width="2" style="12" customWidth="1"/>
    <col min="6384" max="6384" width="3.140625" style="12" customWidth="1"/>
    <col min="6385" max="6385" width="1.7109375" style="12" customWidth="1"/>
    <col min="6386" max="6386" width="15.42578125" style="12" customWidth="1"/>
    <col min="6387" max="6387" width="2.85546875" style="12" customWidth="1"/>
    <col min="6388" max="6388" width="12.5703125" style="12" customWidth="1"/>
    <col min="6389" max="6389" width="1.85546875" style="12" customWidth="1"/>
    <col min="6390" max="6394" width="2.140625" style="12" customWidth="1"/>
    <col min="6395" max="6395" width="36.7109375" style="12" customWidth="1"/>
    <col min="6396" max="6396" width="2" style="12" customWidth="1"/>
    <col min="6397" max="6397" width="1.7109375" style="12" customWidth="1"/>
    <col min="6398" max="6398" width="1.85546875" style="12" customWidth="1"/>
    <col min="6399" max="6399" width="6.5703125" style="12" customWidth="1"/>
    <col min="6400" max="6400" width="1.7109375" style="12" customWidth="1"/>
    <col min="6401" max="6401" width="1.85546875" style="12" customWidth="1"/>
    <col min="6402" max="6402" width="8.140625" style="12" customWidth="1"/>
    <col min="6403" max="6634" width="9.140625" style="12"/>
    <col min="6635" max="6635" width="1.7109375" style="12" customWidth="1"/>
    <col min="6636" max="6636" width="6.42578125" style="12" customWidth="1"/>
    <col min="6637" max="6637" width="2" style="12" customWidth="1"/>
    <col min="6638" max="6638" width="1.5703125" style="12" customWidth="1"/>
    <col min="6639" max="6639" width="2" style="12" customWidth="1"/>
    <col min="6640" max="6640" width="3.140625" style="12" customWidth="1"/>
    <col min="6641" max="6641" width="1.7109375" style="12" customWidth="1"/>
    <col min="6642" max="6642" width="15.42578125" style="12" customWidth="1"/>
    <col min="6643" max="6643" width="2.85546875" style="12" customWidth="1"/>
    <col min="6644" max="6644" width="12.5703125" style="12" customWidth="1"/>
    <col min="6645" max="6645" width="1.85546875" style="12" customWidth="1"/>
    <col min="6646" max="6650" width="2.140625" style="12" customWidth="1"/>
    <col min="6651" max="6651" width="36.7109375" style="12" customWidth="1"/>
    <col min="6652" max="6652" width="2" style="12" customWidth="1"/>
    <col min="6653" max="6653" width="1.7109375" style="12" customWidth="1"/>
    <col min="6654" max="6654" width="1.85546875" style="12" customWidth="1"/>
    <col min="6655" max="6655" width="6.5703125" style="12" customWidth="1"/>
    <col min="6656" max="6656" width="1.7109375" style="12" customWidth="1"/>
    <col min="6657" max="6657" width="1.85546875" style="12" customWidth="1"/>
    <col min="6658" max="6658" width="8.140625" style="12" customWidth="1"/>
    <col min="6659" max="6890" width="9.140625" style="12"/>
    <col min="6891" max="6891" width="1.7109375" style="12" customWidth="1"/>
    <col min="6892" max="6892" width="6.42578125" style="12" customWidth="1"/>
    <col min="6893" max="6893" width="2" style="12" customWidth="1"/>
    <col min="6894" max="6894" width="1.5703125" style="12" customWidth="1"/>
    <col min="6895" max="6895" width="2" style="12" customWidth="1"/>
    <col min="6896" max="6896" width="3.140625" style="12" customWidth="1"/>
    <col min="6897" max="6897" width="1.7109375" style="12" customWidth="1"/>
    <col min="6898" max="6898" width="15.42578125" style="12" customWidth="1"/>
    <col min="6899" max="6899" width="2.85546875" style="12" customWidth="1"/>
    <col min="6900" max="6900" width="12.5703125" style="12" customWidth="1"/>
    <col min="6901" max="6901" width="1.85546875" style="12" customWidth="1"/>
    <col min="6902" max="6906" width="2.140625" style="12" customWidth="1"/>
    <col min="6907" max="6907" width="36.7109375" style="12" customWidth="1"/>
    <col min="6908" max="6908" width="2" style="12" customWidth="1"/>
    <col min="6909" max="6909" width="1.7109375" style="12" customWidth="1"/>
    <col min="6910" max="6910" width="1.85546875" style="12" customWidth="1"/>
    <col min="6911" max="6911" width="6.5703125" style="12" customWidth="1"/>
    <col min="6912" max="6912" width="1.7109375" style="12" customWidth="1"/>
    <col min="6913" max="6913" width="1.85546875" style="12" customWidth="1"/>
    <col min="6914" max="6914" width="8.140625" style="12" customWidth="1"/>
    <col min="6915" max="7146" width="9.140625" style="12"/>
    <col min="7147" max="7147" width="1.7109375" style="12" customWidth="1"/>
    <col min="7148" max="7148" width="6.42578125" style="12" customWidth="1"/>
    <col min="7149" max="7149" width="2" style="12" customWidth="1"/>
    <col min="7150" max="7150" width="1.5703125" style="12" customWidth="1"/>
    <col min="7151" max="7151" width="2" style="12" customWidth="1"/>
    <col min="7152" max="7152" width="3.140625" style="12" customWidth="1"/>
    <col min="7153" max="7153" width="1.7109375" style="12" customWidth="1"/>
    <col min="7154" max="7154" width="15.42578125" style="12" customWidth="1"/>
    <col min="7155" max="7155" width="2.85546875" style="12" customWidth="1"/>
    <col min="7156" max="7156" width="12.5703125" style="12" customWidth="1"/>
    <col min="7157" max="7157" width="1.85546875" style="12" customWidth="1"/>
    <col min="7158" max="7162" width="2.140625" style="12" customWidth="1"/>
    <col min="7163" max="7163" width="36.7109375" style="12" customWidth="1"/>
    <col min="7164" max="7164" width="2" style="12" customWidth="1"/>
    <col min="7165" max="7165" width="1.7109375" style="12" customWidth="1"/>
    <col min="7166" max="7166" width="1.85546875" style="12" customWidth="1"/>
    <col min="7167" max="7167" width="6.5703125" style="12" customWidth="1"/>
    <col min="7168" max="7168" width="1.7109375" style="12" customWidth="1"/>
    <col min="7169" max="7169" width="1.85546875" style="12" customWidth="1"/>
    <col min="7170" max="7170" width="8.140625" style="12" customWidth="1"/>
    <col min="7171" max="7402" width="9.140625" style="12"/>
    <col min="7403" max="7403" width="1.7109375" style="12" customWidth="1"/>
    <col min="7404" max="7404" width="6.42578125" style="12" customWidth="1"/>
    <col min="7405" max="7405" width="2" style="12" customWidth="1"/>
    <col min="7406" max="7406" width="1.5703125" style="12" customWidth="1"/>
    <col min="7407" max="7407" width="2" style="12" customWidth="1"/>
    <col min="7408" max="7408" width="3.140625" style="12" customWidth="1"/>
    <col min="7409" max="7409" width="1.7109375" style="12" customWidth="1"/>
    <col min="7410" max="7410" width="15.42578125" style="12" customWidth="1"/>
    <col min="7411" max="7411" width="2.85546875" style="12" customWidth="1"/>
    <col min="7412" max="7412" width="12.5703125" style="12" customWidth="1"/>
    <col min="7413" max="7413" width="1.85546875" style="12" customWidth="1"/>
    <col min="7414" max="7418" width="2.140625" style="12" customWidth="1"/>
    <col min="7419" max="7419" width="36.7109375" style="12" customWidth="1"/>
    <col min="7420" max="7420" width="2" style="12" customWidth="1"/>
    <col min="7421" max="7421" width="1.7109375" style="12" customWidth="1"/>
    <col min="7422" max="7422" width="1.85546875" style="12" customWidth="1"/>
    <col min="7423" max="7423" width="6.5703125" style="12" customWidth="1"/>
    <col min="7424" max="7424" width="1.7109375" style="12" customWidth="1"/>
    <col min="7425" max="7425" width="1.85546875" style="12" customWidth="1"/>
    <col min="7426" max="7426" width="8.140625" style="12" customWidth="1"/>
    <col min="7427" max="7658" width="9.140625" style="12"/>
    <col min="7659" max="7659" width="1.7109375" style="12" customWidth="1"/>
    <col min="7660" max="7660" width="6.42578125" style="12" customWidth="1"/>
    <col min="7661" max="7661" width="2" style="12" customWidth="1"/>
    <col min="7662" max="7662" width="1.5703125" style="12" customWidth="1"/>
    <col min="7663" max="7663" width="2" style="12" customWidth="1"/>
    <col min="7664" max="7664" width="3.140625" style="12" customWidth="1"/>
    <col min="7665" max="7665" width="1.7109375" style="12" customWidth="1"/>
    <col min="7666" max="7666" width="15.42578125" style="12" customWidth="1"/>
    <col min="7667" max="7667" width="2.85546875" style="12" customWidth="1"/>
    <col min="7668" max="7668" width="12.5703125" style="12" customWidth="1"/>
    <col min="7669" max="7669" width="1.85546875" style="12" customWidth="1"/>
    <col min="7670" max="7674" width="2.140625" style="12" customWidth="1"/>
    <col min="7675" max="7675" width="36.7109375" style="12" customWidth="1"/>
    <col min="7676" max="7676" width="2" style="12" customWidth="1"/>
    <col min="7677" max="7677" width="1.7109375" style="12" customWidth="1"/>
    <col min="7678" max="7678" width="1.85546875" style="12" customWidth="1"/>
    <col min="7679" max="7679" width="6.5703125" style="12" customWidth="1"/>
    <col min="7680" max="7680" width="1.7109375" style="12" customWidth="1"/>
    <col min="7681" max="7681" width="1.85546875" style="12" customWidth="1"/>
    <col min="7682" max="7682" width="8.140625" style="12" customWidth="1"/>
    <col min="7683" max="7914" width="9.140625" style="12"/>
    <col min="7915" max="7915" width="1.7109375" style="12" customWidth="1"/>
    <col min="7916" max="7916" width="6.42578125" style="12" customWidth="1"/>
    <col min="7917" max="7917" width="2" style="12" customWidth="1"/>
    <col min="7918" max="7918" width="1.5703125" style="12" customWidth="1"/>
    <col min="7919" max="7919" width="2" style="12" customWidth="1"/>
    <col min="7920" max="7920" width="3.140625" style="12" customWidth="1"/>
    <col min="7921" max="7921" width="1.7109375" style="12" customWidth="1"/>
    <col min="7922" max="7922" width="15.42578125" style="12" customWidth="1"/>
    <col min="7923" max="7923" width="2.85546875" style="12" customWidth="1"/>
    <col min="7924" max="7924" width="12.5703125" style="12" customWidth="1"/>
    <col min="7925" max="7925" width="1.85546875" style="12" customWidth="1"/>
    <col min="7926" max="7930" width="2.140625" style="12" customWidth="1"/>
    <col min="7931" max="7931" width="36.7109375" style="12" customWidth="1"/>
    <col min="7932" max="7932" width="2" style="12" customWidth="1"/>
    <col min="7933" max="7933" width="1.7109375" style="12" customWidth="1"/>
    <col min="7934" max="7934" width="1.85546875" style="12" customWidth="1"/>
    <col min="7935" max="7935" width="6.5703125" style="12" customWidth="1"/>
    <col min="7936" max="7936" width="1.7109375" style="12" customWidth="1"/>
    <col min="7937" max="7937" width="1.85546875" style="12" customWidth="1"/>
    <col min="7938" max="7938" width="8.140625" style="12" customWidth="1"/>
    <col min="7939" max="8170" width="9.140625" style="12"/>
    <col min="8171" max="8171" width="1.7109375" style="12" customWidth="1"/>
    <col min="8172" max="8172" width="6.42578125" style="12" customWidth="1"/>
    <col min="8173" max="8173" width="2" style="12" customWidth="1"/>
    <col min="8174" max="8174" width="1.5703125" style="12" customWidth="1"/>
    <col min="8175" max="8175" width="2" style="12" customWidth="1"/>
    <col min="8176" max="8176" width="3.140625" style="12" customWidth="1"/>
    <col min="8177" max="8177" width="1.7109375" style="12" customWidth="1"/>
    <col min="8178" max="8178" width="15.42578125" style="12" customWidth="1"/>
    <col min="8179" max="8179" width="2.85546875" style="12" customWidth="1"/>
    <col min="8180" max="8180" width="12.5703125" style="12" customWidth="1"/>
    <col min="8181" max="8181" width="1.85546875" style="12" customWidth="1"/>
    <col min="8182" max="8186" width="2.140625" style="12" customWidth="1"/>
    <col min="8187" max="8187" width="36.7109375" style="12" customWidth="1"/>
    <col min="8188" max="8188" width="2" style="12" customWidth="1"/>
    <col min="8189" max="8189" width="1.7109375" style="12" customWidth="1"/>
    <col min="8190" max="8190" width="1.85546875" style="12" customWidth="1"/>
    <col min="8191" max="8191" width="6.5703125" style="12" customWidth="1"/>
    <col min="8192" max="8192" width="1.7109375" style="12" customWidth="1"/>
    <col min="8193" max="8193" width="1.85546875" style="12" customWidth="1"/>
    <col min="8194" max="8194" width="8.140625" style="12" customWidth="1"/>
    <col min="8195" max="8426" width="9.140625" style="12"/>
    <col min="8427" max="8427" width="1.7109375" style="12" customWidth="1"/>
    <col min="8428" max="8428" width="6.42578125" style="12" customWidth="1"/>
    <col min="8429" max="8429" width="2" style="12" customWidth="1"/>
    <col min="8430" max="8430" width="1.5703125" style="12" customWidth="1"/>
    <col min="8431" max="8431" width="2" style="12" customWidth="1"/>
    <col min="8432" max="8432" width="3.140625" style="12" customWidth="1"/>
    <col min="8433" max="8433" width="1.7109375" style="12" customWidth="1"/>
    <col min="8434" max="8434" width="15.42578125" style="12" customWidth="1"/>
    <col min="8435" max="8435" width="2.85546875" style="12" customWidth="1"/>
    <col min="8436" max="8436" width="12.5703125" style="12" customWidth="1"/>
    <col min="8437" max="8437" width="1.85546875" style="12" customWidth="1"/>
    <col min="8438" max="8442" width="2.140625" style="12" customWidth="1"/>
    <col min="8443" max="8443" width="36.7109375" style="12" customWidth="1"/>
    <col min="8444" max="8444" width="2" style="12" customWidth="1"/>
    <col min="8445" max="8445" width="1.7109375" style="12" customWidth="1"/>
    <col min="8446" max="8446" width="1.85546875" style="12" customWidth="1"/>
    <col min="8447" max="8447" width="6.5703125" style="12" customWidth="1"/>
    <col min="8448" max="8448" width="1.7109375" style="12" customWidth="1"/>
    <col min="8449" max="8449" width="1.85546875" style="12" customWidth="1"/>
    <col min="8450" max="8450" width="8.140625" style="12" customWidth="1"/>
    <col min="8451" max="8682" width="9.140625" style="12"/>
    <col min="8683" max="8683" width="1.7109375" style="12" customWidth="1"/>
    <col min="8684" max="8684" width="6.42578125" style="12" customWidth="1"/>
    <col min="8685" max="8685" width="2" style="12" customWidth="1"/>
    <col min="8686" max="8686" width="1.5703125" style="12" customWidth="1"/>
    <col min="8687" max="8687" width="2" style="12" customWidth="1"/>
    <col min="8688" max="8688" width="3.140625" style="12" customWidth="1"/>
    <col min="8689" max="8689" width="1.7109375" style="12" customWidth="1"/>
    <col min="8690" max="8690" width="15.42578125" style="12" customWidth="1"/>
    <col min="8691" max="8691" width="2.85546875" style="12" customWidth="1"/>
    <col min="8692" max="8692" width="12.5703125" style="12" customWidth="1"/>
    <col min="8693" max="8693" width="1.85546875" style="12" customWidth="1"/>
    <col min="8694" max="8698" width="2.140625" style="12" customWidth="1"/>
    <col min="8699" max="8699" width="36.7109375" style="12" customWidth="1"/>
    <col min="8700" max="8700" width="2" style="12" customWidth="1"/>
    <col min="8701" max="8701" width="1.7109375" style="12" customWidth="1"/>
    <col min="8702" max="8702" width="1.85546875" style="12" customWidth="1"/>
    <col min="8703" max="8703" width="6.5703125" style="12" customWidth="1"/>
    <col min="8704" max="8704" width="1.7109375" style="12" customWidth="1"/>
    <col min="8705" max="8705" width="1.85546875" style="12" customWidth="1"/>
    <col min="8706" max="8706" width="8.140625" style="12" customWidth="1"/>
    <col min="8707" max="8938" width="9.140625" style="12"/>
    <col min="8939" max="8939" width="1.7109375" style="12" customWidth="1"/>
    <col min="8940" max="8940" width="6.42578125" style="12" customWidth="1"/>
    <col min="8941" max="8941" width="2" style="12" customWidth="1"/>
    <col min="8942" max="8942" width="1.5703125" style="12" customWidth="1"/>
    <col min="8943" max="8943" width="2" style="12" customWidth="1"/>
    <col min="8944" max="8944" width="3.140625" style="12" customWidth="1"/>
    <col min="8945" max="8945" width="1.7109375" style="12" customWidth="1"/>
    <col min="8946" max="8946" width="15.42578125" style="12" customWidth="1"/>
    <col min="8947" max="8947" width="2.85546875" style="12" customWidth="1"/>
    <col min="8948" max="8948" width="12.5703125" style="12" customWidth="1"/>
    <col min="8949" max="8949" width="1.85546875" style="12" customWidth="1"/>
    <col min="8950" max="8954" width="2.140625" style="12" customWidth="1"/>
    <col min="8955" max="8955" width="36.7109375" style="12" customWidth="1"/>
    <col min="8956" max="8956" width="2" style="12" customWidth="1"/>
    <col min="8957" max="8957" width="1.7109375" style="12" customWidth="1"/>
    <col min="8958" max="8958" width="1.85546875" style="12" customWidth="1"/>
    <col min="8959" max="8959" width="6.5703125" style="12" customWidth="1"/>
    <col min="8960" max="8960" width="1.7109375" style="12" customWidth="1"/>
    <col min="8961" max="8961" width="1.85546875" style="12" customWidth="1"/>
    <col min="8962" max="8962" width="8.140625" style="12" customWidth="1"/>
    <col min="8963" max="9194" width="9.140625" style="12"/>
    <col min="9195" max="9195" width="1.7109375" style="12" customWidth="1"/>
    <col min="9196" max="9196" width="6.42578125" style="12" customWidth="1"/>
    <col min="9197" max="9197" width="2" style="12" customWidth="1"/>
    <col min="9198" max="9198" width="1.5703125" style="12" customWidth="1"/>
    <col min="9199" max="9199" width="2" style="12" customWidth="1"/>
    <col min="9200" max="9200" width="3.140625" style="12" customWidth="1"/>
    <col min="9201" max="9201" width="1.7109375" style="12" customWidth="1"/>
    <col min="9202" max="9202" width="15.42578125" style="12" customWidth="1"/>
    <col min="9203" max="9203" width="2.85546875" style="12" customWidth="1"/>
    <col min="9204" max="9204" width="12.5703125" style="12" customWidth="1"/>
    <col min="9205" max="9205" width="1.85546875" style="12" customWidth="1"/>
    <col min="9206" max="9210" width="2.140625" style="12" customWidth="1"/>
    <col min="9211" max="9211" width="36.7109375" style="12" customWidth="1"/>
    <col min="9212" max="9212" width="2" style="12" customWidth="1"/>
    <col min="9213" max="9213" width="1.7109375" style="12" customWidth="1"/>
    <col min="9214" max="9214" width="1.85546875" style="12" customWidth="1"/>
    <col min="9215" max="9215" width="6.5703125" style="12" customWidth="1"/>
    <col min="9216" max="9216" width="1.7109375" style="12" customWidth="1"/>
    <col min="9217" max="9217" width="1.85546875" style="12" customWidth="1"/>
    <col min="9218" max="9218" width="8.140625" style="12" customWidth="1"/>
    <col min="9219" max="9450" width="9.140625" style="12"/>
    <col min="9451" max="9451" width="1.7109375" style="12" customWidth="1"/>
    <col min="9452" max="9452" width="6.42578125" style="12" customWidth="1"/>
    <col min="9453" max="9453" width="2" style="12" customWidth="1"/>
    <col min="9454" max="9454" width="1.5703125" style="12" customWidth="1"/>
    <col min="9455" max="9455" width="2" style="12" customWidth="1"/>
    <col min="9456" max="9456" width="3.140625" style="12" customWidth="1"/>
    <col min="9457" max="9457" width="1.7109375" style="12" customWidth="1"/>
    <col min="9458" max="9458" width="15.42578125" style="12" customWidth="1"/>
    <col min="9459" max="9459" width="2.85546875" style="12" customWidth="1"/>
    <col min="9460" max="9460" width="12.5703125" style="12" customWidth="1"/>
    <col min="9461" max="9461" width="1.85546875" style="12" customWidth="1"/>
    <col min="9462" max="9466" width="2.140625" style="12" customWidth="1"/>
    <col min="9467" max="9467" width="36.7109375" style="12" customWidth="1"/>
    <col min="9468" max="9468" width="2" style="12" customWidth="1"/>
    <col min="9469" max="9469" width="1.7109375" style="12" customWidth="1"/>
    <col min="9470" max="9470" width="1.85546875" style="12" customWidth="1"/>
    <col min="9471" max="9471" width="6.5703125" style="12" customWidth="1"/>
    <col min="9472" max="9472" width="1.7109375" style="12" customWidth="1"/>
    <col min="9473" max="9473" width="1.85546875" style="12" customWidth="1"/>
    <col min="9474" max="9474" width="8.140625" style="12" customWidth="1"/>
    <col min="9475" max="9706" width="9.140625" style="12"/>
    <col min="9707" max="9707" width="1.7109375" style="12" customWidth="1"/>
    <col min="9708" max="9708" width="6.42578125" style="12" customWidth="1"/>
    <col min="9709" max="9709" width="2" style="12" customWidth="1"/>
    <col min="9710" max="9710" width="1.5703125" style="12" customWidth="1"/>
    <col min="9711" max="9711" width="2" style="12" customWidth="1"/>
    <col min="9712" max="9712" width="3.140625" style="12" customWidth="1"/>
    <col min="9713" max="9713" width="1.7109375" style="12" customWidth="1"/>
    <col min="9714" max="9714" width="15.42578125" style="12" customWidth="1"/>
    <col min="9715" max="9715" width="2.85546875" style="12" customWidth="1"/>
    <col min="9716" max="9716" width="12.5703125" style="12" customWidth="1"/>
    <col min="9717" max="9717" width="1.85546875" style="12" customWidth="1"/>
    <col min="9718" max="9722" width="2.140625" style="12" customWidth="1"/>
    <col min="9723" max="9723" width="36.7109375" style="12" customWidth="1"/>
    <col min="9724" max="9724" width="2" style="12" customWidth="1"/>
    <col min="9725" max="9725" width="1.7109375" style="12" customWidth="1"/>
    <col min="9726" max="9726" width="1.85546875" style="12" customWidth="1"/>
    <col min="9727" max="9727" width="6.5703125" style="12" customWidth="1"/>
    <col min="9728" max="9728" width="1.7109375" style="12" customWidth="1"/>
    <col min="9729" max="9729" width="1.85546875" style="12" customWidth="1"/>
    <col min="9730" max="9730" width="8.140625" style="12" customWidth="1"/>
    <col min="9731" max="9962" width="9.140625" style="12"/>
    <col min="9963" max="9963" width="1.7109375" style="12" customWidth="1"/>
    <col min="9964" max="9964" width="6.42578125" style="12" customWidth="1"/>
    <col min="9965" max="9965" width="2" style="12" customWidth="1"/>
    <col min="9966" max="9966" width="1.5703125" style="12" customWidth="1"/>
    <col min="9967" max="9967" width="2" style="12" customWidth="1"/>
    <col min="9968" max="9968" width="3.140625" style="12" customWidth="1"/>
    <col min="9969" max="9969" width="1.7109375" style="12" customWidth="1"/>
    <col min="9970" max="9970" width="15.42578125" style="12" customWidth="1"/>
    <col min="9971" max="9971" width="2.85546875" style="12" customWidth="1"/>
    <col min="9972" max="9972" width="12.5703125" style="12" customWidth="1"/>
    <col min="9973" max="9973" width="1.85546875" style="12" customWidth="1"/>
    <col min="9974" max="9978" width="2.140625" style="12" customWidth="1"/>
    <col min="9979" max="9979" width="36.7109375" style="12" customWidth="1"/>
    <col min="9980" max="9980" width="2" style="12" customWidth="1"/>
    <col min="9981" max="9981" width="1.7109375" style="12" customWidth="1"/>
    <col min="9982" max="9982" width="1.85546875" style="12" customWidth="1"/>
    <col min="9983" max="9983" width="6.5703125" style="12" customWidth="1"/>
    <col min="9984" max="9984" width="1.7109375" style="12" customWidth="1"/>
    <col min="9985" max="9985" width="1.85546875" style="12" customWidth="1"/>
    <col min="9986" max="9986" width="8.140625" style="12" customWidth="1"/>
    <col min="9987" max="10218" width="9.140625" style="12"/>
    <col min="10219" max="10219" width="1.7109375" style="12" customWidth="1"/>
    <col min="10220" max="10220" width="6.42578125" style="12" customWidth="1"/>
    <col min="10221" max="10221" width="2" style="12" customWidth="1"/>
    <col min="10222" max="10222" width="1.5703125" style="12" customWidth="1"/>
    <col min="10223" max="10223" width="2" style="12" customWidth="1"/>
    <col min="10224" max="10224" width="3.140625" style="12" customWidth="1"/>
    <col min="10225" max="10225" width="1.7109375" style="12" customWidth="1"/>
    <col min="10226" max="10226" width="15.42578125" style="12" customWidth="1"/>
    <col min="10227" max="10227" width="2.85546875" style="12" customWidth="1"/>
    <col min="10228" max="10228" width="12.5703125" style="12" customWidth="1"/>
    <col min="10229" max="10229" width="1.85546875" style="12" customWidth="1"/>
    <col min="10230" max="10234" width="2.140625" style="12" customWidth="1"/>
    <col min="10235" max="10235" width="36.7109375" style="12" customWidth="1"/>
    <col min="10236" max="10236" width="2" style="12" customWidth="1"/>
    <col min="10237" max="10237" width="1.7109375" style="12" customWidth="1"/>
    <col min="10238" max="10238" width="1.85546875" style="12" customWidth="1"/>
    <col min="10239" max="10239" width="6.5703125" style="12" customWidth="1"/>
    <col min="10240" max="10240" width="1.7109375" style="12" customWidth="1"/>
    <col min="10241" max="10241" width="1.85546875" style="12" customWidth="1"/>
    <col min="10242" max="10242" width="8.140625" style="12" customWidth="1"/>
    <col min="10243" max="10474" width="9.140625" style="12"/>
    <col min="10475" max="10475" width="1.7109375" style="12" customWidth="1"/>
    <col min="10476" max="10476" width="6.42578125" style="12" customWidth="1"/>
    <col min="10477" max="10477" width="2" style="12" customWidth="1"/>
    <col min="10478" max="10478" width="1.5703125" style="12" customWidth="1"/>
    <col min="10479" max="10479" width="2" style="12" customWidth="1"/>
    <col min="10480" max="10480" width="3.140625" style="12" customWidth="1"/>
    <col min="10481" max="10481" width="1.7109375" style="12" customWidth="1"/>
    <col min="10482" max="10482" width="15.42578125" style="12" customWidth="1"/>
    <col min="10483" max="10483" width="2.85546875" style="12" customWidth="1"/>
    <col min="10484" max="10484" width="12.5703125" style="12" customWidth="1"/>
    <col min="10485" max="10485" width="1.85546875" style="12" customWidth="1"/>
    <col min="10486" max="10490" width="2.140625" style="12" customWidth="1"/>
    <col min="10491" max="10491" width="36.7109375" style="12" customWidth="1"/>
    <col min="10492" max="10492" width="2" style="12" customWidth="1"/>
    <col min="10493" max="10493" width="1.7109375" style="12" customWidth="1"/>
    <col min="10494" max="10494" width="1.85546875" style="12" customWidth="1"/>
    <col min="10495" max="10495" width="6.5703125" style="12" customWidth="1"/>
    <col min="10496" max="10496" width="1.7109375" style="12" customWidth="1"/>
    <col min="10497" max="10497" width="1.85546875" style="12" customWidth="1"/>
    <col min="10498" max="10498" width="8.140625" style="12" customWidth="1"/>
    <col min="10499" max="10730" width="9.140625" style="12"/>
    <col min="10731" max="10731" width="1.7109375" style="12" customWidth="1"/>
    <col min="10732" max="10732" width="6.42578125" style="12" customWidth="1"/>
    <col min="10733" max="10733" width="2" style="12" customWidth="1"/>
    <col min="10734" max="10734" width="1.5703125" style="12" customWidth="1"/>
    <col min="10735" max="10735" width="2" style="12" customWidth="1"/>
    <col min="10736" max="10736" width="3.140625" style="12" customWidth="1"/>
    <col min="10737" max="10737" width="1.7109375" style="12" customWidth="1"/>
    <col min="10738" max="10738" width="15.42578125" style="12" customWidth="1"/>
    <col min="10739" max="10739" width="2.85546875" style="12" customWidth="1"/>
    <col min="10740" max="10740" width="12.5703125" style="12" customWidth="1"/>
    <col min="10741" max="10741" width="1.85546875" style="12" customWidth="1"/>
    <col min="10742" max="10746" width="2.140625" style="12" customWidth="1"/>
    <col min="10747" max="10747" width="36.7109375" style="12" customWidth="1"/>
    <col min="10748" max="10748" width="2" style="12" customWidth="1"/>
    <col min="10749" max="10749" width="1.7109375" style="12" customWidth="1"/>
    <col min="10750" max="10750" width="1.85546875" style="12" customWidth="1"/>
    <col min="10751" max="10751" width="6.5703125" style="12" customWidth="1"/>
    <col min="10752" max="10752" width="1.7109375" style="12" customWidth="1"/>
    <col min="10753" max="10753" width="1.85546875" style="12" customWidth="1"/>
    <col min="10754" max="10754" width="8.140625" style="12" customWidth="1"/>
    <col min="10755" max="10986" width="9.140625" style="12"/>
    <col min="10987" max="10987" width="1.7109375" style="12" customWidth="1"/>
    <col min="10988" max="10988" width="6.42578125" style="12" customWidth="1"/>
    <col min="10989" max="10989" width="2" style="12" customWidth="1"/>
    <col min="10990" max="10990" width="1.5703125" style="12" customWidth="1"/>
    <col min="10991" max="10991" width="2" style="12" customWidth="1"/>
    <col min="10992" max="10992" width="3.140625" style="12" customWidth="1"/>
    <col min="10993" max="10993" width="1.7109375" style="12" customWidth="1"/>
    <col min="10994" max="10994" width="15.42578125" style="12" customWidth="1"/>
    <col min="10995" max="10995" width="2.85546875" style="12" customWidth="1"/>
    <col min="10996" max="10996" width="12.5703125" style="12" customWidth="1"/>
    <col min="10997" max="10997" width="1.85546875" style="12" customWidth="1"/>
    <col min="10998" max="11002" width="2.140625" style="12" customWidth="1"/>
    <col min="11003" max="11003" width="36.7109375" style="12" customWidth="1"/>
    <col min="11004" max="11004" width="2" style="12" customWidth="1"/>
    <col min="11005" max="11005" width="1.7109375" style="12" customWidth="1"/>
    <col min="11006" max="11006" width="1.85546875" style="12" customWidth="1"/>
    <col min="11007" max="11007" width="6.5703125" style="12" customWidth="1"/>
    <col min="11008" max="11008" width="1.7109375" style="12" customWidth="1"/>
    <col min="11009" max="11009" width="1.85546875" style="12" customWidth="1"/>
    <col min="11010" max="11010" width="8.140625" style="12" customWidth="1"/>
    <col min="11011" max="11242" width="9.140625" style="12"/>
    <col min="11243" max="11243" width="1.7109375" style="12" customWidth="1"/>
    <col min="11244" max="11244" width="6.42578125" style="12" customWidth="1"/>
    <col min="11245" max="11245" width="2" style="12" customWidth="1"/>
    <col min="11246" max="11246" width="1.5703125" style="12" customWidth="1"/>
    <col min="11247" max="11247" width="2" style="12" customWidth="1"/>
    <col min="11248" max="11248" width="3.140625" style="12" customWidth="1"/>
    <col min="11249" max="11249" width="1.7109375" style="12" customWidth="1"/>
    <col min="11250" max="11250" width="15.42578125" style="12" customWidth="1"/>
    <col min="11251" max="11251" width="2.85546875" style="12" customWidth="1"/>
    <col min="11252" max="11252" width="12.5703125" style="12" customWidth="1"/>
    <col min="11253" max="11253" width="1.85546875" style="12" customWidth="1"/>
    <col min="11254" max="11258" width="2.140625" style="12" customWidth="1"/>
    <col min="11259" max="11259" width="36.7109375" style="12" customWidth="1"/>
    <col min="11260" max="11260" width="2" style="12" customWidth="1"/>
    <col min="11261" max="11261" width="1.7109375" style="12" customWidth="1"/>
    <col min="11262" max="11262" width="1.85546875" style="12" customWidth="1"/>
    <col min="11263" max="11263" width="6.5703125" style="12" customWidth="1"/>
    <col min="11264" max="11264" width="1.7109375" style="12" customWidth="1"/>
    <col min="11265" max="11265" width="1.85546875" style="12" customWidth="1"/>
    <col min="11266" max="11266" width="8.140625" style="12" customWidth="1"/>
    <col min="11267" max="11498" width="9.140625" style="12"/>
    <col min="11499" max="11499" width="1.7109375" style="12" customWidth="1"/>
    <col min="11500" max="11500" width="6.42578125" style="12" customWidth="1"/>
    <col min="11501" max="11501" width="2" style="12" customWidth="1"/>
    <col min="11502" max="11502" width="1.5703125" style="12" customWidth="1"/>
    <col min="11503" max="11503" width="2" style="12" customWidth="1"/>
    <col min="11504" max="11504" width="3.140625" style="12" customWidth="1"/>
    <col min="11505" max="11505" width="1.7109375" style="12" customWidth="1"/>
    <col min="11506" max="11506" width="15.42578125" style="12" customWidth="1"/>
    <col min="11507" max="11507" width="2.85546875" style="12" customWidth="1"/>
    <col min="11508" max="11508" width="12.5703125" style="12" customWidth="1"/>
    <col min="11509" max="11509" width="1.85546875" style="12" customWidth="1"/>
    <col min="11510" max="11514" width="2.140625" style="12" customWidth="1"/>
    <col min="11515" max="11515" width="36.7109375" style="12" customWidth="1"/>
    <col min="11516" max="11516" width="2" style="12" customWidth="1"/>
    <col min="11517" max="11517" width="1.7109375" style="12" customWidth="1"/>
    <col min="11518" max="11518" width="1.85546875" style="12" customWidth="1"/>
    <col min="11519" max="11519" width="6.5703125" style="12" customWidth="1"/>
    <col min="11520" max="11520" width="1.7109375" style="12" customWidth="1"/>
    <col min="11521" max="11521" width="1.85546875" style="12" customWidth="1"/>
    <col min="11522" max="11522" width="8.140625" style="12" customWidth="1"/>
    <col min="11523" max="11754" width="9.140625" style="12"/>
    <col min="11755" max="11755" width="1.7109375" style="12" customWidth="1"/>
    <col min="11756" max="11756" width="6.42578125" style="12" customWidth="1"/>
    <col min="11757" max="11757" width="2" style="12" customWidth="1"/>
    <col min="11758" max="11758" width="1.5703125" style="12" customWidth="1"/>
    <col min="11759" max="11759" width="2" style="12" customWidth="1"/>
    <col min="11760" max="11760" width="3.140625" style="12" customWidth="1"/>
    <col min="11761" max="11761" width="1.7109375" style="12" customWidth="1"/>
    <col min="11762" max="11762" width="15.42578125" style="12" customWidth="1"/>
    <col min="11763" max="11763" width="2.85546875" style="12" customWidth="1"/>
    <col min="11764" max="11764" width="12.5703125" style="12" customWidth="1"/>
    <col min="11765" max="11765" width="1.85546875" style="12" customWidth="1"/>
    <col min="11766" max="11770" width="2.140625" style="12" customWidth="1"/>
    <col min="11771" max="11771" width="36.7109375" style="12" customWidth="1"/>
    <col min="11772" max="11772" width="2" style="12" customWidth="1"/>
    <col min="11773" max="11773" width="1.7109375" style="12" customWidth="1"/>
    <col min="11774" max="11774" width="1.85546875" style="12" customWidth="1"/>
    <col min="11775" max="11775" width="6.5703125" style="12" customWidth="1"/>
    <col min="11776" max="11776" width="1.7109375" style="12" customWidth="1"/>
    <col min="11777" max="11777" width="1.85546875" style="12" customWidth="1"/>
    <col min="11778" max="11778" width="8.140625" style="12" customWidth="1"/>
    <col min="11779" max="12010" width="9.140625" style="12"/>
    <col min="12011" max="12011" width="1.7109375" style="12" customWidth="1"/>
    <col min="12012" max="12012" width="6.42578125" style="12" customWidth="1"/>
    <col min="12013" max="12013" width="2" style="12" customWidth="1"/>
    <col min="12014" max="12014" width="1.5703125" style="12" customWidth="1"/>
    <col min="12015" max="12015" width="2" style="12" customWidth="1"/>
    <col min="12016" max="12016" width="3.140625" style="12" customWidth="1"/>
    <col min="12017" max="12017" width="1.7109375" style="12" customWidth="1"/>
    <col min="12018" max="12018" width="15.42578125" style="12" customWidth="1"/>
    <col min="12019" max="12019" width="2.85546875" style="12" customWidth="1"/>
    <col min="12020" max="12020" width="12.5703125" style="12" customWidth="1"/>
    <col min="12021" max="12021" width="1.85546875" style="12" customWidth="1"/>
    <col min="12022" max="12026" width="2.140625" style="12" customWidth="1"/>
    <col min="12027" max="12027" width="36.7109375" style="12" customWidth="1"/>
    <col min="12028" max="12028" width="2" style="12" customWidth="1"/>
    <col min="12029" max="12029" width="1.7109375" style="12" customWidth="1"/>
    <col min="12030" max="12030" width="1.85546875" style="12" customWidth="1"/>
    <col min="12031" max="12031" width="6.5703125" style="12" customWidth="1"/>
    <col min="12032" max="12032" width="1.7109375" style="12" customWidth="1"/>
    <col min="12033" max="12033" width="1.85546875" style="12" customWidth="1"/>
    <col min="12034" max="12034" width="8.140625" style="12" customWidth="1"/>
    <col min="12035" max="12266" width="9.140625" style="12"/>
    <col min="12267" max="12267" width="1.7109375" style="12" customWidth="1"/>
    <col min="12268" max="12268" width="6.42578125" style="12" customWidth="1"/>
    <col min="12269" max="12269" width="2" style="12" customWidth="1"/>
    <col min="12270" max="12270" width="1.5703125" style="12" customWidth="1"/>
    <col min="12271" max="12271" width="2" style="12" customWidth="1"/>
    <col min="12272" max="12272" width="3.140625" style="12" customWidth="1"/>
    <col min="12273" max="12273" width="1.7109375" style="12" customWidth="1"/>
    <col min="12274" max="12274" width="15.42578125" style="12" customWidth="1"/>
    <col min="12275" max="12275" width="2.85546875" style="12" customWidth="1"/>
    <col min="12276" max="12276" width="12.5703125" style="12" customWidth="1"/>
    <col min="12277" max="12277" width="1.85546875" style="12" customWidth="1"/>
    <col min="12278" max="12282" width="2.140625" style="12" customWidth="1"/>
    <col min="12283" max="12283" width="36.7109375" style="12" customWidth="1"/>
    <col min="12284" max="12284" width="2" style="12" customWidth="1"/>
    <col min="12285" max="12285" width="1.7109375" style="12" customWidth="1"/>
    <col min="12286" max="12286" width="1.85546875" style="12" customWidth="1"/>
    <col min="12287" max="12287" width="6.5703125" style="12" customWidth="1"/>
    <col min="12288" max="12288" width="1.7109375" style="12" customWidth="1"/>
    <col min="12289" max="12289" width="1.85546875" style="12" customWidth="1"/>
    <col min="12290" max="12290" width="8.140625" style="12" customWidth="1"/>
    <col min="12291" max="12522" width="9.140625" style="12"/>
    <col min="12523" max="12523" width="1.7109375" style="12" customWidth="1"/>
    <col min="12524" max="12524" width="6.42578125" style="12" customWidth="1"/>
    <col min="12525" max="12525" width="2" style="12" customWidth="1"/>
    <col min="12526" max="12526" width="1.5703125" style="12" customWidth="1"/>
    <col min="12527" max="12527" width="2" style="12" customWidth="1"/>
    <col min="12528" max="12528" width="3.140625" style="12" customWidth="1"/>
    <col min="12529" max="12529" width="1.7109375" style="12" customWidth="1"/>
    <col min="12530" max="12530" width="15.42578125" style="12" customWidth="1"/>
    <col min="12531" max="12531" width="2.85546875" style="12" customWidth="1"/>
    <col min="12532" max="12532" width="12.5703125" style="12" customWidth="1"/>
    <col min="12533" max="12533" width="1.85546875" style="12" customWidth="1"/>
    <col min="12534" max="12538" width="2.140625" style="12" customWidth="1"/>
    <col min="12539" max="12539" width="36.7109375" style="12" customWidth="1"/>
    <col min="12540" max="12540" width="2" style="12" customWidth="1"/>
    <col min="12541" max="12541" width="1.7109375" style="12" customWidth="1"/>
    <col min="12542" max="12542" width="1.85546875" style="12" customWidth="1"/>
    <col min="12543" max="12543" width="6.5703125" style="12" customWidth="1"/>
    <col min="12544" max="12544" width="1.7109375" style="12" customWidth="1"/>
    <col min="12545" max="12545" width="1.85546875" style="12" customWidth="1"/>
    <col min="12546" max="12546" width="8.140625" style="12" customWidth="1"/>
    <col min="12547" max="12778" width="9.140625" style="12"/>
    <col min="12779" max="12779" width="1.7109375" style="12" customWidth="1"/>
    <col min="12780" max="12780" width="6.42578125" style="12" customWidth="1"/>
    <col min="12781" max="12781" width="2" style="12" customWidth="1"/>
    <col min="12782" max="12782" width="1.5703125" style="12" customWidth="1"/>
    <col min="12783" max="12783" width="2" style="12" customWidth="1"/>
    <col min="12784" max="12784" width="3.140625" style="12" customWidth="1"/>
    <col min="12785" max="12785" width="1.7109375" style="12" customWidth="1"/>
    <col min="12786" max="12786" width="15.42578125" style="12" customWidth="1"/>
    <col min="12787" max="12787" width="2.85546875" style="12" customWidth="1"/>
    <col min="12788" max="12788" width="12.5703125" style="12" customWidth="1"/>
    <col min="12789" max="12789" width="1.85546875" style="12" customWidth="1"/>
    <col min="12790" max="12794" width="2.140625" style="12" customWidth="1"/>
    <col min="12795" max="12795" width="36.7109375" style="12" customWidth="1"/>
    <col min="12796" max="12796" width="2" style="12" customWidth="1"/>
    <col min="12797" max="12797" width="1.7109375" style="12" customWidth="1"/>
    <col min="12798" max="12798" width="1.85546875" style="12" customWidth="1"/>
    <col min="12799" max="12799" width="6.5703125" style="12" customWidth="1"/>
    <col min="12800" max="12800" width="1.7109375" style="12" customWidth="1"/>
    <col min="12801" max="12801" width="1.85546875" style="12" customWidth="1"/>
    <col min="12802" max="12802" width="8.140625" style="12" customWidth="1"/>
    <col min="12803" max="13034" width="9.140625" style="12"/>
    <col min="13035" max="13035" width="1.7109375" style="12" customWidth="1"/>
    <col min="13036" max="13036" width="6.42578125" style="12" customWidth="1"/>
    <col min="13037" max="13037" width="2" style="12" customWidth="1"/>
    <col min="13038" max="13038" width="1.5703125" style="12" customWidth="1"/>
    <col min="13039" max="13039" width="2" style="12" customWidth="1"/>
    <col min="13040" max="13040" width="3.140625" style="12" customWidth="1"/>
    <col min="13041" max="13041" width="1.7109375" style="12" customWidth="1"/>
    <col min="13042" max="13042" width="15.42578125" style="12" customWidth="1"/>
    <col min="13043" max="13043" width="2.85546875" style="12" customWidth="1"/>
    <col min="13044" max="13044" width="12.5703125" style="12" customWidth="1"/>
    <col min="13045" max="13045" width="1.85546875" style="12" customWidth="1"/>
    <col min="13046" max="13050" width="2.140625" style="12" customWidth="1"/>
    <col min="13051" max="13051" width="36.7109375" style="12" customWidth="1"/>
    <col min="13052" max="13052" width="2" style="12" customWidth="1"/>
    <col min="13053" max="13053" width="1.7109375" style="12" customWidth="1"/>
    <col min="13054" max="13054" width="1.85546875" style="12" customWidth="1"/>
    <col min="13055" max="13055" width="6.5703125" style="12" customWidth="1"/>
    <col min="13056" max="13056" width="1.7109375" style="12" customWidth="1"/>
    <col min="13057" max="13057" width="1.85546875" style="12" customWidth="1"/>
    <col min="13058" max="13058" width="8.140625" style="12" customWidth="1"/>
    <col min="13059" max="13290" width="9.140625" style="12"/>
    <col min="13291" max="13291" width="1.7109375" style="12" customWidth="1"/>
    <col min="13292" max="13292" width="6.42578125" style="12" customWidth="1"/>
    <col min="13293" max="13293" width="2" style="12" customWidth="1"/>
    <col min="13294" max="13294" width="1.5703125" style="12" customWidth="1"/>
    <col min="13295" max="13295" width="2" style="12" customWidth="1"/>
    <col min="13296" max="13296" width="3.140625" style="12" customWidth="1"/>
    <col min="13297" max="13297" width="1.7109375" style="12" customWidth="1"/>
    <col min="13298" max="13298" width="15.42578125" style="12" customWidth="1"/>
    <col min="13299" max="13299" width="2.85546875" style="12" customWidth="1"/>
    <col min="13300" max="13300" width="12.5703125" style="12" customWidth="1"/>
    <col min="13301" max="13301" width="1.85546875" style="12" customWidth="1"/>
    <col min="13302" max="13306" width="2.140625" style="12" customWidth="1"/>
    <col min="13307" max="13307" width="36.7109375" style="12" customWidth="1"/>
    <col min="13308" max="13308" width="2" style="12" customWidth="1"/>
    <col min="13309" max="13309" width="1.7109375" style="12" customWidth="1"/>
    <col min="13310" max="13310" width="1.85546875" style="12" customWidth="1"/>
    <col min="13311" max="13311" width="6.5703125" style="12" customWidth="1"/>
    <col min="13312" max="13312" width="1.7109375" style="12" customWidth="1"/>
    <col min="13313" max="13313" width="1.85546875" style="12" customWidth="1"/>
    <col min="13314" max="13314" width="8.140625" style="12" customWidth="1"/>
    <col min="13315" max="13546" width="9.140625" style="12"/>
    <col min="13547" max="13547" width="1.7109375" style="12" customWidth="1"/>
    <col min="13548" max="13548" width="6.42578125" style="12" customWidth="1"/>
    <col min="13549" max="13549" width="2" style="12" customWidth="1"/>
    <col min="13550" max="13550" width="1.5703125" style="12" customWidth="1"/>
    <col min="13551" max="13551" width="2" style="12" customWidth="1"/>
    <col min="13552" max="13552" width="3.140625" style="12" customWidth="1"/>
    <col min="13553" max="13553" width="1.7109375" style="12" customWidth="1"/>
    <col min="13554" max="13554" width="15.42578125" style="12" customWidth="1"/>
    <col min="13555" max="13555" width="2.85546875" style="12" customWidth="1"/>
    <col min="13556" max="13556" width="12.5703125" style="12" customWidth="1"/>
    <col min="13557" max="13557" width="1.85546875" style="12" customWidth="1"/>
    <col min="13558" max="13562" width="2.140625" style="12" customWidth="1"/>
    <col min="13563" max="13563" width="36.7109375" style="12" customWidth="1"/>
    <col min="13564" max="13564" width="2" style="12" customWidth="1"/>
    <col min="13565" max="13565" width="1.7109375" style="12" customWidth="1"/>
    <col min="13566" max="13566" width="1.85546875" style="12" customWidth="1"/>
    <col min="13567" max="13567" width="6.5703125" style="12" customWidth="1"/>
    <col min="13568" max="13568" width="1.7109375" style="12" customWidth="1"/>
    <col min="13569" max="13569" width="1.85546875" style="12" customWidth="1"/>
    <col min="13570" max="13570" width="8.140625" style="12" customWidth="1"/>
    <col min="13571" max="13802" width="9.140625" style="12"/>
    <col min="13803" max="13803" width="1.7109375" style="12" customWidth="1"/>
    <col min="13804" max="13804" width="6.42578125" style="12" customWidth="1"/>
    <col min="13805" max="13805" width="2" style="12" customWidth="1"/>
    <col min="13806" max="13806" width="1.5703125" style="12" customWidth="1"/>
    <col min="13807" max="13807" width="2" style="12" customWidth="1"/>
    <col min="13808" max="13808" width="3.140625" style="12" customWidth="1"/>
    <col min="13809" max="13809" width="1.7109375" style="12" customWidth="1"/>
    <col min="13810" max="13810" width="15.42578125" style="12" customWidth="1"/>
    <col min="13811" max="13811" width="2.85546875" style="12" customWidth="1"/>
    <col min="13812" max="13812" width="12.5703125" style="12" customWidth="1"/>
    <col min="13813" max="13813" width="1.85546875" style="12" customWidth="1"/>
    <col min="13814" max="13818" width="2.140625" style="12" customWidth="1"/>
    <col min="13819" max="13819" width="36.7109375" style="12" customWidth="1"/>
    <col min="13820" max="13820" width="2" style="12" customWidth="1"/>
    <col min="13821" max="13821" width="1.7109375" style="12" customWidth="1"/>
    <col min="13822" max="13822" width="1.85546875" style="12" customWidth="1"/>
    <col min="13823" max="13823" width="6.5703125" style="12" customWidth="1"/>
    <col min="13824" max="13824" width="1.7109375" style="12" customWidth="1"/>
    <col min="13825" max="13825" width="1.85546875" style="12" customWidth="1"/>
    <col min="13826" max="13826" width="8.140625" style="12" customWidth="1"/>
    <col min="13827" max="14058" width="9.140625" style="12"/>
    <col min="14059" max="14059" width="1.7109375" style="12" customWidth="1"/>
    <col min="14060" max="14060" width="6.42578125" style="12" customWidth="1"/>
    <col min="14061" max="14061" width="2" style="12" customWidth="1"/>
    <col min="14062" max="14062" width="1.5703125" style="12" customWidth="1"/>
    <col min="14063" max="14063" width="2" style="12" customWidth="1"/>
    <col min="14064" max="14064" width="3.140625" style="12" customWidth="1"/>
    <col min="14065" max="14065" width="1.7109375" style="12" customWidth="1"/>
    <col min="14066" max="14066" width="15.42578125" style="12" customWidth="1"/>
    <col min="14067" max="14067" width="2.85546875" style="12" customWidth="1"/>
    <col min="14068" max="14068" width="12.5703125" style="12" customWidth="1"/>
    <col min="14069" max="14069" width="1.85546875" style="12" customWidth="1"/>
    <col min="14070" max="14074" width="2.140625" style="12" customWidth="1"/>
    <col min="14075" max="14075" width="36.7109375" style="12" customWidth="1"/>
    <col min="14076" max="14076" width="2" style="12" customWidth="1"/>
    <col min="14077" max="14077" width="1.7109375" style="12" customWidth="1"/>
    <col min="14078" max="14078" width="1.85546875" style="12" customWidth="1"/>
    <col min="14079" max="14079" width="6.5703125" style="12" customWidth="1"/>
    <col min="14080" max="14080" width="1.7109375" style="12" customWidth="1"/>
    <col min="14081" max="14081" width="1.85546875" style="12" customWidth="1"/>
    <col min="14082" max="14082" width="8.140625" style="12" customWidth="1"/>
    <col min="14083" max="14314" width="9.140625" style="12"/>
    <col min="14315" max="14315" width="1.7109375" style="12" customWidth="1"/>
    <col min="14316" max="14316" width="6.42578125" style="12" customWidth="1"/>
    <col min="14317" max="14317" width="2" style="12" customWidth="1"/>
    <col min="14318" max="14318" width="1.5703125" style="12" customWidth="1"/>
    <col min="14319" max="14319" width="2" style="12" customWidth="1"/>
    <col min="14320" max="14320" width="3.140625" style="12" customWidth="1"/>
    <col min="14321" max="14321" width="1.7109375" style="12" customWidth="1"/>
    <col min="14322" max="14322" width="15.42578125" style="12" customWidth="1"/>
    <col min="14323" max="14323" width="2.85546875" style="12" customWidth="1"/>
    <col min="14324" max="14324" width="12.5703125" style="12" customWidth="1"/>
    <col min="14325" max="14325" width="1.85546875" style="12" customWidth="1"/>
    <col min="14326" max="14330" width="2.140625" style="12" customWidth="1"/>
    <col min="14331" max="14331" width="36.7109375" style="12" customWidth="1"/>
    <col min="14332" max="14332" width="2" style="12" customWidth="1"/>
    <col min="14333" max="14333" width="1.7109375" style="12" customWidth="1"/>
    <col min="14334" max="14334" width="1.85546875" style="12" customWidth="1"/>
    <col min="14335" max="14335" width="6.5703125" style="12" customWidth="1"/>
    <col min="14336" max="14336" width="1.7109375" style="12" customWidth="1"/>
    <col min="14337" max="14337" width="1.85546875" style="12" customWidth="1"/>
    <col min="14338" max="14338" width="8.140625" style="12" customWidth="1"/>
    <col min="14339" max="14570" width="9.140625" style="12"/>
    <col min="14571" max="14571" width="1.7109375" style="12" customWidth="1"/>
    <col min="14572" max="14572" width="6.42578125" style="12" customWidth="1"/>
    <col min="14573" max="14573" width="2" style="12" customWidth="1"/>
    <col min="14574" max="14574" width="1.5703125" style="12" customWidth="1"/>
    <col min="14575" max="14575" width="2" style="12" customWidth="1"/>
    <col min="14576" max="14576" width="3.140625" style="12" customWidth="1"/>
    <col min="14577" max="14577" width="1.7109375" style="12" customWidth="1"/>
    <col min="14578" max="14578" width="15.42578125" style="12" customWidth="1"/>
    <col min="14579" max="14579" width="2.85546875" style="12" customWidth="1"/>
    <col min="14580" max="14580" width="12.5703125" style="12" customWidth="1"/>
    <col min="14581" max="14581" width="1.85546875" style="12" customWidth="1"/>
    <col min="14582" max="14586" width="2.140625" style="12" customWidth="1"/>
    <col min="14587" max="14587" width="36.7109375" style="12" customWidth="1"/>
    <col min="14588" max="14588" width="2" style="12" customWidth="1"/>
    <col min="14589" max="14589" width="1.7109375" style="12" customWidth="1"/>
    <col min="14590" max="14590" width="1.85546875" style="12" customWidth="1"/>
    <col min="14591" max="14591" width="6.5703125" style="12" customWidth="1"/>
    <col min="14592" max="14592" width="1.7109375" style="12" customWidth="1"/>
    <col min="14593" max="14593" width="1.85546875" style="12" customWidth="1"/>
    <col min="14594" max="14594" width="8.140625" style="12" customWidth="1"/>
    <col min="14595" max="14826" width="9.140625" style="12"/>
    <col min="14827" max="14827" width="1.7109375" style="12" customWidth="1"/>
    <col min="14828" max="14828" width="6.42578125" style="12" customWidth="1"/>
    <col min="14829" max="14829" width="2" style="12" customWidth="1"/>
    <col min="14830" max="14830" width="1.5703125" style="12" customWidth="1"/>
    <col min="14831" max="14831" width="2" style="12" customWidth="1"/>
    <col min="14832" max="14832" width="3.140625" style="12" customWidth="1"/>
    <col min="14833" max="14833" width="1.7109375" style="12" customWidth="1"/>
    <col min="14834" max="14834" width="15.42578125" style="12" customWidth="1"/>
    <col min="14835" max="14835" width="2.85546875" style="12" customWidth="1"/>
    <col min="14836" max="14836" width="12.5703125" style="12" customWidth="1"/>
    <col min="14837" max="14837" width="1.85546875" style="12" customWidth="1"/>
    <col min="14838" max="14842" width="2.140625" style="12" customWidth="1"/>
    <col min="14843" max="14843" width="36.7109375" style="12" customWidth="1"/>
    <col min="14844" max="14844" width="2" style="12" customWidth="1"/>
    <col min="14845" max="14845" width="1.7109375" style="12" customWidth="1"/>
    <col min="14846" max="14846" width="1.85546875" style="12" customWidth="1"/>
    <col min="14847" max="14847" width="6.5703125" style="12" customWidth="1"/>
    <col min="14848" max="14848" width="1.7109375" style="12" customWidth="1"/>
    <col min="14849" max="14849" width="1.85546875" style="12" customWidth="1"/>
    <col min="14850" max="14850" width="8.140625" style="12" customWidth="1"/>
    <col min="14851" max="15082" width="9.140625" style="12"/>
    <col min="15083" max="15083" width="1.7109375" style="12" customWidth="1"/>
    <col min="15084" max="15084" width="6.42578125" style="12" customWidth="1"/>
    <col min="15085" max="15085" width="2" style="12" customWidth="1"/>
    <col min="15086" max="15086" width="1.5703125" style="12" customWidth="1"/>
    <col min="15087" max="15087" width="2" style="12" customWidth="1"/>
    <col min="15088" max="15088" width="3.140625" style="12" customWidth="1"/>
    <col min="15089" max="15089" width="1.7109375" style="12" customWidth="1"/>
    <col min="15090" max="15090" width="15.42578125" style="12" customWidth="1"/>
    <col min="15091" max="15091" width="2.85546875" style="12" customWidth="1"/>
    <col min="15092" max="15092" width="12.5703125" style="12" customWidth="1"/>
    <col min="15093" max="15093" width="1.85546875" style="12" customWidth="1"/>
    <col min="15094" max="15098" width="2.140625" style="12" customWidth="1"/>
    <col min="15099" max="15099" width="36.7109375" style="12" customWidth="1"/>
    <col min="15100" max="15100" width="2" style="12" customWidth="1"/>
    <col min="15101" max="15101" width="1.7109375" style="12" customWidth="1"/>
    <col min="15102" max="15102" width="1.85546875" style="12" customWidth="1"/>
    <col min="15103" max="15103" width="6.5703125" style="12" customWidth="1"/>
    <col min="15104" max="15104" width="1.7109375" style="12" customWidth="1"/>
    <col min="15105" max="15105" width="1.85546875" style="12" customWidth="1"/>
    <col min="15106" max="15106" width="8.140625" style="12" customWidth="1"/>
    <col min="15107" max="15338" width="9.140625" style="12"/>
    <col min="15339" max="15339" width="1.7109375" style="12" customWidth="1"/>
    <col min="15340" max="15340" width="6.42578125" style="12" customWidth="1"/>
    <col min="15341" max="15341" width="2" style="12" customWidth="1"/>
    <col min="15342" max="15342" width="1.5703125" style="12" customWidth="1"/>
    <col min="15343" max="15343" width="2" style="12" customWidth="1"/>
    <col min="15344" max="15344" width="3.140625" style="12" customWidth="1"/>
    <col min="15345" max="15345" width="1.7109375" style="12" customWidth="1"/>
    <col min="15346" max="15346" width="15.42578125" style="12" customWidth="1"/>
    <col min="15347" max="15347" width="2.85546875" style="12" customWidth="1"/>
    <col min="15348" max="15348" width="12.5703125" style="12" customWidth="1"/>
    <col min="15349" max="15349" width="1.85546875" style="12" customWidth="1"/>
    <col min="15350" max="15354" width="2.140625" style="12" customWidth="1"/>
    <col min="15355" max="15355" width="36.7109375" style="12" customWidth="1"/>
    <col min="15356" max="15356" width="2" style="12" customWidth="1"/>
    <col min="15357" max="15357" width="1.7109375" style="12" customWidth="1"/>
    <col min="15358" max="15358" width="1.85546875" style="12" customWidth="1"/>
    <col min="15359" max="15359" width="6.5703125" style="12" customWidth="1"/>
    <col min="15360" max="15360" width="1.7109375" style="12" customWidth="1"/>
    <col min="15361" max="15361" width="1.85546875" style="12" customWidth="1"/>
    <col min="15362" max="15362" width="8.140625" style="12" customWidth="1"/>
    <col min="15363" max="15594" width="9.140625" style="12"/>
    <col min="15595" max="15595" width="1.7109375" style="12" customWidth="1"/>
    <col min="15596" max="15596" width="6.42578125" style="12" customWidth="1"/>
    <col min="15597" max="15597" width="2" style="12" customWidth="1"/>
    <col min="15598" max="15598" width="1.5703125" style="12" customWidth="1"/>
    <col min="15599" max="15599" width="2" style="12" customWidth="1"/>
    <col min="15600" max="15600" width="3.140625" style="12" customWidth="1"/>
    <col min="15601" max="15601" width="1.7109375" style="12" customWidth="1"/>
    <col min="15602" max="15602" width="15.42578125" style="12" customWidth="1"/>
    <col min="15603" max="15603" width="2.85546875" style="12" customWidth="1"/>
    <col min="15604" max="15604" width="12.5703125" style="12" customWidth="1"/>
    <col min="15605" max="15605" width="1.85546875" style="12" customWidth="1"/>
    <col min="15606" max="15610" width="2.140625" style="12" customWidth="1"/>
    <col min="15611" max="15611" width="36.7109375" style="12" customWidth="1"/>
    <col min="15612" max="15612" width="2" style="12" customWidth="1"/>
    <col min="15613" max="15613" width="1.7109375" style="12" customWidth="1"/>
    <col min="15614" max="15614" width="1.85546875" style="12" customWidth="1"/>
    <col min="15615" max="15615" width="6.5703125" style="12" customWidth="1"/>
    <col min="15616" max="15616" width="1.7109375" style="12" customWidth="1"/>
    <col min="15617" max="15617" width="1.85546875" style="12" customWidth="1"/>
    <col min="15618" max="15618" width="8.140625" style="12" customWidth="1"/>
    <col min="15619" max="15850" width="9.140625" style="12"/>
    <col min="15851" max="15851" width="1.7109375" style="12" customWidth="1"/>
    <col min="15852" max="15852" width="6.42578125" style="12" customWidth="1"/>
    <col min="15853" max="15853" width="2" style="12" customWidth="1"/>
    <col min="15854" max="15854" width="1.5703125" style="12" customWidth="1"/>
    <col min="15855" max="15855" width="2" style="12" customWidth="1"/>
    <col min="15856" max="15856" width="3.140625" style="12" customWidth="1"/>
    <col min="15857" max="15857" width="1.7109375" style="12" customWidth="1"/>
    <col min="15858" max="15858" width="15.42578125" style="12" customWidth="1"/>
    <col min="15859" max="15859" width="2.85546875" style="12" customWidth="1"/>
    <col min="15860" max="15860" width="12.5703125" style="12" customWidth="1"/>
    <col min="15861" max="15861" width="1.85546875" style="12" customWidth="1"/>
    <col min="15862" max="15866" width="2.140625" style="12" customWidth="1"/>
    <col min="15867" max="15867" width="36.7109375" style="12" customWidth="1"/>
    <col min="15868" max="15868" width="2" style="12" customWidth="1"/>
    <col min="15869" max="15869" width="1.7109375" style="12" customWidth="1"/>
    <col min="15870" max="15870" width="1.85546875" style="12" customWidth="1"/>
    <col min="15871" max="15871" width="6.5703125" style="12" customWidth="1"/>
    <col min="15872" max="15872" width="1.7109375" style="12" customWidth="1"/>
    <col min="15873" max="15873" width="1.85546875" style="12" customWidth="1"/>
    <col min="15874" max="15874" width="8.140625" style="12" customWidth="1"/>
    <col min="15875" max="16106" width="9.140625" style="12"/>
    <col min="16107" max="16107" width="1.7109375" style="12" customWidth="1"/>
    <col min="16108" max="16108" width="6.42578125" style="12" customWidth="1"/>
    <col min="16109" max="16109" width="2" style="12" customWidth="1"/>
    <col min="16110" max="16110" width="1.5703125" style="12" customWidth="1"/>
    <col min="16111" max="16111" width="2" style="12" customWidth="1"/>
    <col min="16112" max="16112" width="3.140625" style="12" customWidth="1"/>
    <col min="16113" max="16113" width="1.7109375" style="12" customWidth="1"/>
    <col min="16114" max="16114" width="15.42578125" style="12" customWidth="1"/>
    <col min="16115" max="16115" width="2.85546875" style="12" customWidth="1"/>
    <col min="16116" max="16116" width="12.5703125" style="12" customWidth="1"/>
    <col min="16117" max="16117" width="1.85546875" style="12" customWidth="1"/>
    <col min="16118" max="16122" width="2.140625" style="12" customWidth="1"/>
    <col min="16123" max="16123" width="36.7109375" style="12" customWidth="1"/>
    <col min="16124" max="16124" width="2" style="12" customWidth="1"/>
    <col min="16125" max="16125" width="1.7109375" style="12" customWidth="1"/>
    <col min="16126" max="16126" width="1.85546875" style="12" customWidth="1"/>
    <col min="16127" max="16127" width="6.5703125" style="12" customWidth="1"/>
    <col min="16128" max="16128" width="1.7109375" style="12" customWidth="1"/>
    <col min="16129" max="16129" width="1.85546875" style="12" customWidth="1"/>
    <col min="16130" max="16130" width="8.140625" style="12" customWidth="1"/>
    <col min="16131" max="16384" width="9.140625" style="12"/>
  </cols>
  <sheetData>
    <row r="1" spans="1:3" ht="11.1" customHeight="1" x14ac:dyDescent="0.2">
      <c r="A1" s="9" t="s">
        <v>16</v>
      </c>
      <c r="B1" s="9"/>
      <c r="C1" s="10"/>
    </row>
    <row r="2" spans="1:3" ht="11.1" customHeight="1" x14ac:dyDescent="0.2">
      <c r="A2" s="11" t="s">
        <v>17</v>
      </c>
      <c r="B2" s="11"/>
    </row>
    <row r="3" spans="1:3" ht="11.1" customHeight="1" x14ac:dyDescent="0.2">
      <c r="A3" s="12" t="s">
        <v>18</v>
      </c>
    </row>
    <row r="4" spans="1:3" ht="11.1" customHeight="1" x14ac:dyDescent="0.2"/>
    <row r="5" spans="1:3" ht="11.1" customHeight="1" x14ac:dyDescent="0.2">
      <c r="A5" s="9"/>
      <c r="B5" s="9"/>
      <c r="C5" s="9"/>
    </row>
    <row r="6" spans="1:3" ht="11.1" customHeight="1" x14ac:dyDescent="0.2">
      <c r="A6" s="12" t="s">
        <v>19</v>
      </c>
      <c r="B6" s="57"/>
    </row>
    <row r="7" spans="1:3" ht="11.1" customHeight="1" x14ac:dyDescent="0.2"/>
    <row r="8" spans="1:3" ht="11.85" customHeight="1" x14ac:dyDescent="0.2">
      <c r="A8" s="11" t="s">
        <v>20</v>
      </c>
      <c r="B8" s="11"/>
    </row>
    <row r="9" spans="1:3" ht="11.85" customHeight="1" x14ac:dyDescent="0.2">
      <c r="A9" s="11">
        <v>1</v>
      </c>
      <c r="B9" s="11" t="s">
        <v>178</v>
      </c>
      <c r="C9" s="12" t="s">
        <v>50</v>
      </c>
    </row>
    <row r="10" spans="1:3" ht="11.85" customHeight="1" x14ac:dyDescent="0.2">
      <c r="A10" s="11">
        <v>2</v>
      </c>
      <c r="B10" s="11" t="s">
        <v>179</v>
      </c>
      <c r="C10" s="12" t="s">
        <v>51</v>
      </c>
    </row>
    <row r="11" spans="1:3" ht="11.85" customHeight="1" x14ac:dyDescent="0.2">
      <c r="A11" s="11">
        <v>3</v>
      </c>
      <c r="B11" s="11" t="s">
        <v>180</v>
      </c>
      <c r="C11" s="12" t="s">
        <v>52</v>
      </c>
    </row>
    <row r="12" spans="1:3" ht="11.85" customHeight="1" x14ac:dyDescent="0.2">
      <c r="A12" s="11">
        <v>4</v>
      </c>
      <c r="B12" s="11" t="s">
        <v>181</v>
      </c>
      <c r="C12" s="12" t="s">
        <v>53</v>
      </c>
    </row>
    <row r="13" spans="1:3" ht="11.85" customHeight="1" x14ac:dyDescent="0.2">
      <c r="A13" s="11">
        <v>5</v>
      </c>
      <c r="B13" s="11" t="s">
        <v>182</v>
      </c>
      <c r="C13" s="12" t="s">
        <v>54</v>
      </c>
    </row>
    <row r="14" spans="1:3" ht="11.85" customHeight="1" x14ac:dyDescent="0.2">
      <c r="A14" s="11">
        <v>7</v>
      </c>
      <c r="B14" s="11" t="s">
        <v>183</v>
      </c>
      <c r="C14" s="12" t="s">
        <v>55</v>
      </c>
    </row>
    <row r="15" spans="1:3" ht="11.85" customHeight="1" x14ac:dyDescent="0.2">
      <c r="A15" s="11">
        <v>8</v>
      </c>
      <c r="B15" s="11" t="s">
        <v>184</v>
      </c>
      <c r="C15" s="12" t="s">
        <v>185</v>
      </c>
    </row>
    <row r="16" spans="1:3" ht="11.85" customHeight="1" x14ac:dyDescent="0.2">
      <c r="A16" s="11">
        <v>9</v>
      </c>
      <c r="B16" s="11" t="s">
        <v>186</v>
      </c>
      <c r="C16" s="12" t="s">
        <v>187</v>
      </c>
    </row>
    <row r="17" spans="1:3" ht="11.85" customHeight="1" x14ac:dyDescent="0.2">
      <c r="A17" s="11">
        <v>519</v>
      </c>
      <c r="B17" s="11" t="s">
        <v>188</v>
      </c>
      <c r="C17" s="12" t="s">
        <v>189</v>
      </c>
    </row>
    <row r="18" spans="1:3" ht="11.85" customHeight="1" x14ac:dyDescent="0.2">
      <c r="A18" s="11">
        <v>520</v>
      </c>
      <c r="B18" s="11" t="s">
        <v>190</v>
      </c>
      <c r="C18" s="12" t="s">
        <v>56</v>
      </c>
    </row>
    <row r="19" spans="1:3" ht="11.85" customHeight="1" x14ac:dyDescent="0.2">
      <c r="A19" s="11">
        <v>521</v>
      </c>
      <c r="B19" s="11" t="s">
        <v>479</v>
      </c>
      <c r="C19" s="12" t="s">
        <v>1118</v>
      </c>
    </row>
    <row r="20" spans="1:3" ht="11.85" customHeight="1" x14ac:dyDescent="0.2">
      <c r="A20" s="11">
        <v>522</v>
      </c>
      <c r="B20" s="11" t="s">
        <v>191</v>
      </c>
      <c r="C20" s="12" t="s">
        <v>192</v>
      </c>
    </row>
    <row r="21" spans="1:3" ht="11.85" customHeight="1" x14ac:dyDescent="0.2">
      <c r="A21" s="11">
        <v>523</v>
      </c>
      <c r="B21" s="11" t="s">
        <v>480</v>
      </c>
      <c r="C21" s="12" t="s">
        <v>1119</v>
      </c>
    </row>
    <row r="22" spans="1:3" ht="11.85" customHeight="1" x14ac:dyDescent="0.2">
      <c r="A22" s="11">
        <v>524</v>
      </c>
      <c r="B22" s="11" t="s">
        <v>481</v>
      </c>
      <c r="C22" s="12" t="s">
        <v>1120</v>
      </c>
    </row>
    <row r="23" spans="1:3" ht="11.85" customHeight="1" x14ac:dyDescent="0.2">
      <c r="A23" s="11">
        <v>525</v>
      </c>
      <c r="B23" s="11" t="s">
        <v>482</v>
      </c>
      <c r="C23" s="12" t="s">
        <v>1121</v>
      </c>
    </row>
    <row r="24" spans="1:3" ht="11.85" customHeight="1" x14ac:dyDescent="0.2">
      <c r="A24" s="11">
        <v>526</v>
      </c>
      <c r="B24" s="11" t="s">
        <v>483</v>
      </c>
      <c r="C24" s="12" t="s">
        <v>1122</v>
      </c>
    </row>
    <row r="25" spans="1:3" ht="11.85" customHeight="1" x14ac:dyDescent="0.2">
      <c r="A25" s="11">
        <v>10</v>
      </c>
      <c r="B25" s="11" t="s">
        <v>193</v>
      </c>
      <c r="C25" s="12" t="s">
        <v>194</v>
      </c>
    </row>
    <row r="26" spans="1:3" ht="11.85" customHeight="1" x14ac:dyDescent="0.2">
      <c r="A26" s="11">
        <v>11</v>
      </c>
      <c r="B26" s="11" t="s">
        <v>484</v>
      </c>
      <c r="C26" s="12" t="s">
        <v>185</v>
      </c>
    </row>
    <row r="27" spans="1:3" ht="11.85" customHeight="1" x14ac:dyDescent="0.2">
      <c r="A27" s="11">
        <v>527</v>
      </c>
      <c r="B27" s="11" t="s">
        <v>485</v>
      </c>
      <c r="C27" s="12" t="s">
        <v>1123</v>
      </c>
    </row>
    <row r="28" spans="1:3" ht="11.85" customHeight="1" x14ac:dyDescent="0.2">
      <c r="A28" s="11">
        <v>528</v>
      </c>
      <c r="B28" s="11" t="s">
        <v>195</v>
      </c>
      <c r="C28" s="12" t="s">
        <v>187</v>
      </c>
    </row>
    <row r="29" spans="1:3" ht="11.85" customHeight="1" x14ac:dyDescent="0.2">
      <c r="A29" s="11">
        <v>529</v>
      </c>
      <c r="B29" s="11" t="s">
        <v>486</v>
      </c>
      <c r="C29" s="12" t="s">
        <v>1124</v>
      </c>
    </row>
    <row r="30" spans="1:3" ht="11.85" customHeight="1" x14ac:dyDescent="0.2">
      <c r="A30" s="11">
        <v>530</v>
      </c>
      <c r="B30" s="11" t="s">
        <v>196</v>
      </c>
      <c r="C30" s="12" t="s">
        <v>189</v>
      </c>
    </row>
    <row r="31" spans="1:3" ht="11.85" customHeight="1" x14ac:dyDescent="0.2">
      <c r="A31" s="11">
        <v>531</v>
      </c>
      <c r="B31" s="11" t="s">
        <v>197</v>
      </c>
      <c r="C31" s="12" t="s">
        <v>198</v>
      </c>
    </row>
    <row r="32" spans="1:3" ht="11.85" customHeight="1" x14ac:dyDescent="0.2">
      <c r="A32" s="11">
        <v>532</v>
      </c>
      <c r="B32" s="11" t="s">
        <v>199</v>
      </c>
      <c r="C32" s="12" t="s">
        <v>56</v>
      </c>
    </row>
    <row r="33" spans="1:3" ht="11.85" customHeight="1" x14ac:dyDescent="0.2">
      <c r="A33" s="11">
        <v>533</v>
      </c>
      <c r="B33" s="11" t="s">
        <v>487</v>
      </c>
      <c r="C33" s="12" t="s">
        <v>1125</v>
      </c>
    </row>
    <row r="34" spans="1:3" ht="11.85" customHeight="1" x14ac:dyDescent="0.2">
      <c r="A34" s="11">
        <v>534</v>
      </c>
      <c r="B34" s="11" t="s">
        <v>488</v>
      </c>
      <c r="C34" s="12" t="s">
        <v>1118</v>
      </c>
    </row>
    <row r="35" spans="1:3" ht="11.85" customHeight="1" x14ac:dyDescent="0.2">
      <c r="A35" s="11">
        <v>535</v>
      </c>
      <c r="B35" s="11" t="s">
        <v>489</v>
      </c>
      <c r="C35" s="12" t="s">
        <v>1126</v>
      </c>
    </row>
    <row r="36" spans="1:3" ht="11.85" customHeight="1" x14ac:dyDescent="0.2">
      <c r="A36" s="11">
        <v>536</v>
      </c>
      <c r="B36" s="11" t="s">
        <v>200</v>
      </c>
      <c r="C36" s="12" t="s">
        <v>192</v>
      </c>
    </row>
    <row r="37" spans="1:3" ht="11.85" customHeight="1" x14ac:dyDescent="0.2">
      <c r="A37" s="11">
        <v>537</v>
      </c>
      <c r="B37" s="11" t="s">
        <v>490</v>
      </c>
      <c r="C37" s="12" t="s">
        <v>1127</v>
      </c>
    </row>
    <row r="38" spans="1:3" ht="11.85" customHeight="1" x14ac:dyDescent="0.2">
      <c r="A38" s="11">
        <v>538</v>
      </c>
      <c r="B38" s="11" t="s">
        <v>491</v>
      </c>
      <c r="C38" s="12" t="s">
        <v>1119</v>
      </c>
    </row>
    <row r="39" spans="1:3" ht="11.85" customHeight="1" x14ac:dyDescent="0.2">
      <c r="A39" s="11">
        <v>539</v>
      </c>
      <c r="B39" s="11" t="s">
        <v>492</v>
      </c>
      <c r="C39" s="12" t="s">
        <v>1128</v>
      </c>
    </row>
    <row r="40" spans="1:3" ht="11.85" customHeight="1" x14ac:dyDescent="0.2">
      <c r="A40" s="11">
        <v>540</v>
      </c>
      <c r="B40" s="11" t="s">
        <v>493</v>
      </c>
      <c r="C40" s="12" t="s">
        <v>1120</v>
      </c>
    </row>
    <row r="41" spans="1:3" ht="11.85" customHeight="1" x14ac:dyDescent="0.2">
      <c r="A41" s="11">
        <v>541</v>
      </c>
      <c r="B41" s="11" t="s">
        <v>494</v>
      </c>
      <c r="C41" s="12" t="s">
        <v>1129</v>
      </c>
    </row>
    <row r="42" spans="1:3" ht="11.85" customHeight="1" x14ac:dyDescent="0.2">
      <c r="A42" s="11">
        <v>542</v>
      </c>
      <c r="B42" s="11" t="s">
        <v>495</v>
      </c>
      <c r="C42" s="12" t="s">
        <v>1121</v>
      </c>
    </row>
    <row r="43" spans="1:3" ht="11.85" customHeight="1" x14ac:dyDescent="0.2">
      <c r="A43" s="11">
        <v>543</v>
      </c>
      <c r="B43" s="11" t="s">
        <v>496</v>
      </c>
      <c r="C43" s="12" t="s">
        <v>1130</v>
      </c>
    </row>
    <row r="44" spans="1:3" ht="11.85" customHeight="1" x14ac:dyDescent="0.2">
      <c r="A44" s="11">
        <v>544</v>
      </c>
      <c r="B44" s="11" t="s">
        <v>497</v>
      </c>
      <c r="C44" s="12" t="s">
        <v>1122</v>
      </c>
    </row>
    <row r="45" spans="1:3" ht="11.85" customHeight="1" x14ac:dyDescent="0.2">
      <c r="A45" s="11">
        <v>545</v>
      </c>
      <c r="B45" s="11" t="s">
        <v>498</v>
      </c>
      <c r="C45" s="12" t="s">
        <v>1131</v>
      </c>
    </row>
    <row r="46" spans="1:3" ht="11.85" customHeight="1" x14ac:dyDescent="0.2">
      <c r="A46" s="11">
        <v>546</v>
      </c>
      <c r="B46" s="11" t="s">
        <v>499</v>
      </c>
      <c r="C46" s="12" t="s">
        <v>1132</v>
      </c>
    </row>
    <row r="47" spans="1:3" ht="11.85" customHeight="1" x14ac:dyDescent="0.2">
      <c r="A47" s="11">
        <v>547</v>
      </c>
      <c r="B47" s="11" t="s">
        <v>500</v>
      </c>
      <c r="C47" s="12" t="s">
        <v>1133</v>
      </c>
    </row>
    <row r="48" spans="1:3" ht="11.85" customHeight="1" x14ac:dyDescent="0.2">
      <c r="A48" s="11">
        <v>548</v>
      </c>
      <c r="B48" s="11" t="s">
        <v>501</v>
      </c>
      <c r="C48" s="12" t="s">
        <v>1134</v>
      </c>
    </row>
    <row r="49" spans="1:3" ht="11.85" customHeight="1" x14ac:dyDescent="0.2">
      <c r="A49" s="11">
        <v>549</v>
      </c>
      <c r="B49" s="11" t="s">
        <v>502</v>
      </c>
      <c r="C49" s="12" t="s">
        <v>1135</v>
      </c>
    </row>
    <row r="50" spans="1:3" ht="11.85" customHeight="1" x14ac:dyDescent="0.2">
      <c r="A50" s="11">
        <v>550</v>
      </c>
      <c r="B50" s="11" t="s">
        <v>503</v>
      </c>
      <c r="C50" s="12" t="s">
        <v>1136</v>
      </c>
    </row>
    <row r="51" spans="1:3" ht="11.85" customHeight="1" x14ac:dyDescent="0.2">
      <c r="A51" s="11">
        <v>551</v>
      </c>
      <c r="B51" s="11" t="s">
        <v>504</v>
      </c>
      <c r="C51" s="12" t="s">
        <v>1137</v>
      </c>
    </row>
    <row r="52" spans="1:3" ht="11.85" customHeight="1" x14ac:dyDescent="0.2">
      <c r="A52" s="11">
        <v>552</v>
      </c>
      <c r="B52" s="11" t="s">
        <v>505</v>
      </c>
      <c r="C52" s="12" t="s">
        <v>1138</v>
      </c>
    </row>
    <row r="53" spans="1:3" ht="11.85" customHeight="1" x14ac:dyDescent="0.2">
      <c r="A53" s="11">
        <v>12</v>
      </c>
      <c r="B53" s="11" t="s">
        <v>201</v>
      </c>
      <c r="C53" s="12" t="s">
        <v>57</v>
      </c>
    </row>
    <row r="54" spans="1:3" ht="11.85" customHeight="1" x14ac:dyDescent="0.2">
      <c r="A54" s="11">
        <v>13</v>
      </c>
      <c r="B54" s="11" t="s">
        <v>202</v>
      </c>
      <c r="C54" s="12" t="s">
        <v>58</v>
      </c>
    </row>
    <row r="55" spans="1:3" ht="11.85" customHeight="1" x14ac:dyDescent="0.2">
      <c r="A55" s="11">
        <v>504</v>
      </c>
      <c r="B55" s="11" t="s">
        <v>203</v>
      </c>
      <c r="C55" s="12" t="s">
        <v>59</v>
      </c>
    </row>
    <row r="56" spans="1:3" ht="11.85" customHeight="1" x14ac:dyDescent="0.2">
      <c r="A56" s="11">
        <v>553</v>
      </c>
      <c r="B56" s="11" t="s">
        <v>506</v>
      </c>
      <c r="C56" s="12" t="s">
        <v>1924</v>
      </c>
    </row>
    <row r="57" spans="1:3" ht="11.85" customHeight="1" x14ac:dyDescent="0.2">
      <c r="A57" s="11">
        <v>16</v>
      </c>
      <c r="B57" s="11" t="s">
        <v>507</v>
      </c>
      <c r="C57" s="12" t="s">
        <v>60</v>
      </c>
    </row>
    <row r="58" spans="1:3" ht="11.85" customHeight="1" x14ac:dyDescent="0.2">
      <c r="A58" s="11">
        <v>1254</v>
      </c>
      <c r="B58" s="11" t="s">
        <v>1910</v>
      </c>
      <c r="C58" s="12" t="s">
        <v>1925</v>
      </c>
    </row>
    <row r="59" spans="1:3" ht="11.85" customHeight="1" x14ac:dyDescent="0.2">
      <c r="A59" s="11">
        <v>17</v>
      </c>
      <c r="B59" s="11" t="s">
        <v>508</v>
      </c>
      <c r="C59" s="12" t="s">
        <v>1139</v>
      </c>
    </row>
    <row r="60" spans="1:3" ht="11.85" customHeight="1" x14ac:dyDescent="0.2">
      <c r="A60" s="11">
        <v>18</v>
      </c>
      <c r="B60" s="11" t="s">
        <v>204</v>
      </c>
      <c r="C60" s="12" t="s">
        <v>61</v>
      </c>
    </row>
    <row r="61" spans="1:3" ht="11.85" customHeight="1" x14ac:dyDescent="0.2">
      <c r="A61" s="11">
        <v>19</v>
      </c>
      <c r="B61" s="11" t="s">
        <v>509</v>
      </c>
      <c r="C61" s="12" t="s">
        <v>1140</v>
      </c>
    </row>
    <row r="62" spans="1:3" ht="11.85" customHeight="1" x14ac:dyDescent="0.2">
      <c r="A62" s="11">
        <v>20</v>
      </c>
      <c r="B62" s="11" t="s">
        <v>510</v>
      </c>
      <c r="C62" s="12" t="s">
        <v>1141</v>
      </c>
    </row>
    <row r="63" spans="1:3" ht="11.85" customHeight="1" x14ac:dyDescent="0.2">
      <c r="A63" s="11">
        <v>21</v>
      </c>
      <c r="B63" s="11" t="s">
        <v>205</v>
      </c>
      <c r="C63" s="12" t="s">
        <v>206</v>
      </c>
    </row>
    <row r="64" spans="1:3" ht="11.85" customHeight="1" x14ac:dyDescent="0.2">
      <c r="A64" s="11">
        <v>22</v>
      </c>
      <c r="B64" s="11" t="s">
        <v>511</v>
      </c>
      <c r="C64" s="12" t="s">
        <v>1142</v>
      </c>
    </row>
    <row r="65" spans="1:3" ht="11.85" customHeight="1" x14ac:dyDescent="0.2">
      <c r="A65" s="11">
        <v>23</v>
      </c>
      <c r="B65" s="11" t="s">
        <v>207</v>
      </c>
      <c r="C65" s="12" t="s">
        <v>208</v>
      </c>
    </row>
    <row r="66" spans="1:3" ht="11.85" customHeight="1" x14ac:dyDescent="0.2">
      <c r="A66" s="11">
        <v>1002</v>
      </c>
      <c r="B66" s="11" t="s">
        <v>209</v>
      </c>
      <c r="C66" s="12" t="s">
        <v>1181</v>
      </c>
    </row>
    <row r="67" spans="1:3" ht="11.85" customHeight="1" x14ac:dyDescent="0.2">
      <c r="A67" s="11">
        <v>24</v>
      </c>
      <c r="B67" s="11" t="s">
        <v>210</v>
      </c>
      <c r="C67" s="12" t="s">
        <v>211</v>
      </c>
    </row>
    <row r="68" spans="1:3" ht="11.85" customHeight="1" x14ac:dyDescent="0.2">
      <c r="A68" s="11">
        <v>25</v>
      </c>
      <c r="B68" s="11" t="s">
        <v>212</v>
      </c>
      <c r="C68" s="12" t="s">
        <v>213</v>
      </c>
    </row>
    <row r="69" spans="1:3" ht="11.85" customHeight="1" x14ac:dyDescent="0.2">
      <c r="A69" s="11">
        <v>26</v>
      </c>
      <c r="B69" s="11" t="s">
        <v>214</v>
      </c>
      <c r="C69" s="12" t="s">
        <v>215</v>
      </c>
    </row>
    <row r="70" spans="1:3" ht="11.85" customHeight="1" x14ac:dyDescent="0.2">
      <c r="A70" s="11">
        <v>556</v>
      </c>
      <c r="B70" s="11" t="s">
        <v>512</v>
      </c>
      <c r="C70" s="12" t="s">
        <v>1143</v>
      </c>
    </row>
    <row r="71" spans="1:3" ht="11.85" customHeight="1" x14ac:dyDescent="0.2">
      <c r="A71" s="11">
        <v>557</v>
      </c>
      <c r="B71" s="11" t="s">
        <v>513</v>
      </c>
      <c r="C71" s="12" t="s">
        <v>1144</v>
      </c>
    </row>
    <row r="72" spans="1:3" ht="11.85" customHeight="1" x14ac:dyDescent="0.2">
      <c r="A72" s="11">
        <v>1360</v>
      </c>
      <c r="B72" s="11" t="s">
        <v>1911</v>
      </c>
      <c r="C72" s="12" t="s">
        <v>1926</v>
      </c>
    </row>
    <row r="73" spans="1:3" ht="11.85" customHeight="1" x14ac:dyDescent="0.2">
      <c r="A73" s="11">
        <v>27</v>
      </c>
      <c r="B73" s="11" t="s">
        <v>514</v>
      </c>
      <c r="C73" s="12" t="s">
        <v>1145</v>
      </c>
    </row>
    <row r="74" spans="1:3" ht="11.85" customHeight="1" x14ac:dyDescent="0.2">
      <c r="A74" s="11">
        <v>28</v>
      </c>
      <c r="B74" s="11" t="s">
        <v>216</v>
      </c>
      <c r="C74" s="12" t="s">
        <v>62</v>
      </c>
    </row>
    <row r="75" spans="1:3" ht="11.85" customHeight="1" x14ac:dyDescent="0.2">
      <c r="A75" s="11">
        <v>29</v>
      </c>
      <c r="B75" s="11" t="s">
        <v>515</v>
      </c>
      <c r="C75" s="12" t="s">
        <v>1146</v>
      </c>
    </row>
    <row r="76" spans="1:3" ht="11.85" customHeight="1" x14ac:dyDescent="0.2">
      <c r="A76" s="11">
        <v>30</v>
      </c>
      <c r="B76" s="11" t="s">
        <v>217</v>
      </c>
      <c r="C76" s="12" t="s">
        <v>63</v>
      </c>
    </row>
    <row r="77" spans="1:3" ht="11.85" customHeight="1" x14ac:dyDescent="0.2">
      <c r="A77" s="11">
        <v>31</v>
      </c>
      <c r="B77" s="11" t="s">
        <v>516</v>
      </c>
      <c r="C77" s="12" t="s">
        <v>1147</v>
      </c>
    </row>
    <row r="78" spans="1:3" ht="11.85" customHeight="1" x14ac:dyDescent="0.2">
      <c r="A78" s="11">
        <v>32</v>
      </c>
      <c r="B78" s="11" t="s">
        <v>517</v>
      </c>
      <c r="C78" s="12" t="s">
        <v>1148</v>
      </c>
    </row>
    <row r="79" spans="1:3" ht="11.85" customHeight="1" x14ac:dyDescent="0.2">
      <c r="A79" s="11">
        <v>33</v>
      </c>
      <c r="B79" s="11" t="s">
        <v>518</v>
      </c>
      <c r="C79" s="12" t="s">
        <v>1149</v>
      </c>
    </row>
    <row r="80" spans="1:3" ht="11.85" customHeight="1" x14ac:dyDescent="0.2">
      <c r="A80" s="11">
        <v>34</v>
      </c>
      <c r="B80" s="11" t="s">
        <v>519</v>
      </c>
      <c r="C80" s="12" t="s">
        <v>1150</v>
      </c>
    </row>
    <row r="81" spans="1:3" ht="11.85" customHeight="1" x14ac:dyDescent="0.2">
      <c r="A81" s="11">
        <v>35</v>
      </c>
      <c r="B81" s="11" t="s">
        <v>520</v>
      </c>
      <c r="C81" s="12" t="s">
        <v>1151</v>
      </c>
    </row>
    <row r="82" spans="1:3" ht="11.85" customHeight="1" x14ac:dyDescent="0.2">
      <c r="A82" s="11">
        <v>36</v>
      </c>
      <c r="B82" s="11" t="s">
        <v>521</v>
      </c>
      <c r="C82" s="12" t="s">
        <v>1152</v>
      </c>
    </row>
    <row r="83" spans="1:3" ht="11.85" customHeight="1" x14ac:dyDescent="0.2">
      <c r="A83" s="11">
        <v>37</v>
      </c>
      <c r="B83" s="11" t="s">
        <v>522</v>
      </c>
      <c r="C83" s="12" t="s">
        <v>1153</v>
      </c>
    </row>
    <row r="84" spans="1:3" ht="11.85" customHeight="1" x14ac:dyDescent="0.2">
      <c r="A84" s="11">
        <v>38</v>
      </c>
      <c r="B84" s="11" t="s">
        <v>523</v>
      </c>
      <c r="C84" s="12" t="s">
        <v>1154</v>
      </c>
    </row>
    <row r="85" spans="1:3" ht="11.85" customHeight="1" x14ac:dyDescent="0.2">
      <c r="A85" s="11">
        <v>39</v>
      </c>
      <c r="B85" s="11" t="s">
        <v>524</v>
      </c>
      <c r="C85" s="12" t="s">
        <v>1155</v>
      </c>
    </row>
    <row r="86" spans="1:3" ht="11.85" customHeight="1" x14ac:dyDescent="0.2">
      <c r="A86" s="11">
        <v>40</v>
      </c>
      <c r="B86" s="11" t="s">
        <v>525</v>
      </c>
      <c r="C86" s="12" t="s">
        <v>1927</v>
      </c>
    </row>
    <row r="87" spans="1:3" ht="11.85" customHeight="1" x14ac:dyDescent="0.2">
      <c r="A87" s="11">
        <v>41</v>
      </c>
      <c r="B87" s="11" t="s">
        <v>526</v>
      </c>
      <c r="C87" s="12" t="s">
        <v>1156</v>
      </c>
    </row>
    <row r="88" spans="1:3" ht="11.85" customHeight="1" x14ac:dyDescent="0.2">
      <c r="A88" s="11">
        <v>42</v>
      </c>
      <c r="B88" s="11" t="s">
        <v>527</v>
      </c>
      <c r="C88" s="12" t="s">
        <v>1157</v>
      </c>
    </row>
    <row r="89" spans="1:3" ht="11.85" customHeight="1" x14ac:dyDescent="0.2">
      <c r="A89" s="11">
        <v>43</v>
      </c>
      <c r="B89" s="11" t="s">
        <v>528</v>
      </c>
      <c r="C89" s="12" t="s">
        <v>1158</v>
      </c>
    </row>
    <row r="90" spans="1:3" ht="11.85" customHeight="1" x14ac:dyDescent="0.2">
      <c r="A90" s="11">
        <v>476</v>
      </c>
      <c r="B90" s="11" t="s">
        <v>218</v>
      </c>
      <c r="C90" s="12" t="s">
        <v>64</v>
      </c>
    </row>
    <row r="91" spans="1:3" ht="11.85" customHeight="1" x14ac:dyDescent="0.2">
      <c r="A91" s="11">
        <v>558</v>
      </c>
      <c r="B91" s="11" t="s">
        <v>529</v>
      </c>
      <c r="C91" s="12" t="s">
        <v>1159</v>
      </c>
    </row>
    <row r="92" spans="1:3" ht="11.85" customHeight="1" x14ac:dyDescent="0.2">
      <c r="A92" s="11">
        <v>948</v>
      </c>
      <c r="B92" s="11" t="s">
        <v>219</v>
      </c>
      <c r="C92" s="12" t="s">
        <v>220</v>
      </c>
    </row>
    <row r="93" spans="1:3" ht="11.85" customHeight="1" x14ac:dyDescent="0.2">
      <c r="A93" s="11">
        <v>44</v>
      </c>
      <c r="B93" s="11" t="s">
        <v>530</v>
      </c>
      <c r="C93" s="12" t="s">
        <v>1160</v>
      </c>
    </row>
    <row r="94" spans="1:3" ht="11.85" customHeight="1" x14ac:dyDescent="0.2">
      <c r="A94" s="11">
        <v>45</v>
      </c>
      <c r="B94" s="11" t="s">
        <v>531</v>
      </c>
      <c r="C94" s="12" t="s">
        <v>1161</v>
      </c>
    </row>
    <row r="95" spans="1:3" ht="11.85" customHeight="1" x14ac:dyDescent="0.2">
      <c r="A95" s="11">
        <v>555</v>
      </c>
      <c r="B95" s="11" t="s">
        <v>532</v>
      </c>
      <c r="C95" s="12" t="s">
        <v>1162</v>
      </c>
    </row>
    <row r="96" spans="1:3" ht="11.85" customHeight="1" x14ac:dyDescent="0.2">
      <c r="A96" s="11">
        <v>554</v>
      </c>
      <c r="B96" s="11" t="s">
        <v>533</v>
      </c>
      <c r="C96" s="12" t="s">
        <v>1163</v>
      </c>
    </row>
    <row r="97" spans="1:3" ht="11.85" customHeight="1" x14ac:dyDescent="0.2">
      <c r="A97" s="11">
        <v>46</v>
      </c>
      <c r="B97" s="11" t="s">
        <v>534</v>
      </c>
      <c r="C97" s="12" t="s">
        <v>1164</v>
      </c>
    </row>
    <row r="98" spans="1:3" ht="11.85" customHeight="1" x14ac:dyDescent="0.2">
      <c r="A98" s="11">
        <v>47</v>
      </c>
      <c r="B98" s="11" t="s">
        <v>535</v>
      </c>
      <c r="C98" s="12" t="s">
        <v>1165</v>
      </c>
    </row>
    <row r="99" spans="1:3" ht="11.85" customHeight="1" x14ac:dyDescent="0.2">
      <c r="A99" s="11">
        <v>48</v>
      </c>
      <c r="B99" s="11" t="s">
        <v>536</v>
      </c>
      <c r="C99" s="12" t="s">
        <v>1166</v>
      </c>
    </row>
    <row r="100" spans="1:3" ht="11.85" customHeight="1" x14ac:dyDescent="0.2">
      <c r="A100" s="11">
        <v>49</v>
      </c>
      <c r="B100" s="11" t="s">
        <v>537</v>
      </c>
      <c r="C100" s="12" t="s">
        <v>1167</v>
      </c>
    </row>
    <row r="101" spans="1:3" ht="11.85" customHeight="1" x14ac:dyDescent="0.2">
      <c r="A101" s="11">
        <v>50</v>
      </c>
      <c r="B101" s="11" t="s">
        <v>538</v>
      </c>
      <c r="C101" s="12" t="s">
        <v>1168</v>
      </c>
    </row>
    <row r="102" spans="1:3" ht="11.85" customHeight="1" x14ac:dyDescent="0.2">
      <c r="A102" s="11">
        <v>51</v>
      </c>
      <c r="B102" s="11" t="s">
        <v>539</v>
      </c>
      <c r="C102" s="12" t="s">
        <v>1169</v>
      </c>
    </row>
    <row r="103" spans="1:3" ht="11.85" customHeight="1" x14ac:dyDescent="0.2">
      <c r="A103" s="11">
        <v>52</v>
      </c>
      <c r="B103" s="11" t="s">
        <v>540</v>
      </c>
      <c r="C103" s="12" t="s">
        <v>1170</v>
      </c>
    </row>
    <row r="104" spans="1:3" ht="11.85" customHeight="1" x14ac:dyDescent="0.2">
      <c r="A104" s="11">
        <v>53</v>
      </c>
      <c r="B104" s="11" t="s">
        <v>221</v>
      </c>
      <c r="C104" s="12" t="s">
        <v>65</v>
      </c>
    </row>
    <row r="105" spans="1:3" ht="11.85" customHeight="1" x14ac:dyDescent="0.2">
      <c r="A105" s="11">
        <v>54</v>
      </c>
      <c r="B105" s="11" t="s">
        <v>222</v>
      </c>
      <c r="C105" s="12" t="s">
        <v>66</v>
      </c>
    </row>
    <row r="106" spans="1:3" ht="11.85" customHeight="1" x14ac:dyDescent="0.2">
      <c r="A106" s="11">
        <v>55</v>
      </c>
      <c r="B106" s="11" t="s">
        <v>541</v>
      </c>
      <c r="C106" s="12" t="s">
        <v>67</v>
      </c>
    </row>
    <row r="107" spans="1:3" ht="11.85" customHeight="1" x14ac:dyDescent="0.2">
      <c r="A107" s="11">
        <v>559</v>
      </c>
      <c r="B107" s="11" t="s">
        <v>542</v>
      </c>
      <c r="C107" s="12" t="s">
        <v>1171</v>
      </c>
    </row>
    <row r="108" spans="1:3" ht="11.85" customHeight="1" x14ac:dyDescent="0.2">
      <c r="A108" s="11">
        <v>560</v>
      </c>
      <c r="B108" s="11" t="s">
        <v>543</v>
      </c>
      <c r="C108" s="12" t="s">
        <v>1172</v>
      </c>
    </row>
    <row r="109" spans="1:3" ht="11.85" customHeight="1" x14ac:dyDescent="0.2">
      <c r="A109" s="11">
        <v>61</v>
      </c>
      <c r="B109" s="11" t="s">
        <v>544</v>
      </c>
      <c r="C109" s="12" t="s">
        <v>1173</v>
      </c>
    </row>
    <row r="110" spans="1:3" ht="11.85" customHeight="1" x14ac:dyDescent="0.2">
      <c r="A110" s="11">
        <v>62</v>
      </c>
      <c r="B110" s="11" t="s">
        <v>545</v>
      </c>
      <c r="C110" s="12" t="s">
        <v>1174</v>
      </c>
    </row>
    <row r="111" spans="1:3" ht="11.85" customHeight="1" x14ac:dyDescent="0.2">
      <c r="A111" s="11">
        <v>63</v>
      </c>
      <c r="B111" s="11" t="s">
        <v>546</v>
      </c>
      <c r="C111" s="12" t="s">
        <v>1175</v>
      </c>
    </row>
    <row r="112" spans="1:3" ht="11.85" customHeight="1" x14ac:dyDescent="0.2">
      <c r="A112" s="11">
        <v>64</v>
      </c>
      <c r="B112" s="11" t="s">
        <v>547</v>
      </c>
      <c r="C112" s="12" t="s">
        <v>1176</v>
      </c>
    </row>
    <row r="113" spans="1:3" ht="11.85" customHeight="1" x14ac:dyDescent="0.2">
      <c r="A113" s="11">
        <v>565</v>
      </c>
      <c r="B113" s="11" t="s">
        <v>548</v>
      </c>
      <c r="C113" s="12" t="s">
        <v>1177</v>
      </c>
    </row>
    <row r="114" spans="1:3" ht="11.85" customHeight="1" x14ac:dyDescent="0.2">
      <c r="A114" s="11">
        <v>65</v>
      </c>
      <c r="B114" s="11" t="s">
        <v>223</v>
      </c>
      <c r="C114" s="12" t="s">
        <v>68</v>
      </c>
    </row>
    <row r="115" spans="1:3" ht="11.85" customHeight="1" x14ac:dyDescent="0.2">
      <c r="A115" s="11">
        <v>66</v>
      </c>
      <c r="B115" s="11" t="s">
        <v>224</v>
      </c>
      <c r="C115" s="12" t="s">
        <v>69</v>
      </c>
    </row>
    <row r="116" spans="1:3" ht="11.85" customHeight="1" x14ac:dyDescent="0.2">
      <c r="A116" s="11">
        <v>67</v>
      </c>
      <c r="B116" s="11" t="s">
        <v>225</v>
      </c>
      <c r="C116" s="12" t="s">
        <v>70</v>
      </c>
    </row>
    <row r="117" spans="1:3" ht="11.85" customHeight="1" x14ac:dyDescent="0.2">
      <c r="A117" s="11">
        <v>68</v>
      </c>
      <c r="B117" s="11" t="s">
        <v>549</v>
      </c>
      <c r="C117" s="12" t="s">
        <v>1178</v>
      </c>
    </row>
    <row r="118" spans="1:3" ht="11.85" customHeight="1" x14ac:dyDescent="0.2">
      <c r="A118" s="11">
        <v>561</v>
      </c>
      <c r="B118" s="11" t="s">
        <v>550</v>
      </c>
      <c r="C118" s="12" t="s">
        <v>1179</v>
      </c>
    </row>
    <row r="119" spans="1:3" ht="11.85" customHeight="1" x14ac:dyDescent="0.2">
      <c r="A119" s="11">
        <v>562</v>
      </c>
      <c r="B119" s="11" t="s">
        <v>551</v>
      </c>
      <c r="C119" s="12" t="s">
        <v>1180</v>
      </c>
    </row>
    <row r="120" spans="1:3" ht="11.85" customHeight="1" x14ac:dyDescent="0.2">
      <c r="A120" s="11">
        <v>563</v>
      </c>
      <c r="B120" s="11" t="s">
        <v>226</v>
      </c>
      <c r="C120" s="12" t="s">
        <v>227</v>
      </c>
    </row>
    <row r="121" spans="1:3" ht="11.85" customHeight="1" x14ac:dyDescent="0.2">
      <c r="A121" s="11">
        <v>564</v>
      </c>
      <c r="B121" s="11" t="s">
        <v>228</v>
      </c>
      <c r="C121" s="12" t="s">
        <v>229</v>
      </c>
    </row>
    <row r="122" spans="1:3" ht="11.85" customHeight="1" x14ac:dyDescent="0.2">
      <c r="A122" s="11">
        <v>501</v>
      </c>
      <c r="B122" s="11" t="s">
        <v>230</v>
      </c>
      <c r="C122" s="12" t="s">
        <v>71</v>
      </c>
    </row>
    <row r="123" spans="1:3" ht="11.85" customHeight="1" x14ac:dyDescent="0.2">
      <c r="A123" s="11">
        <v>69</v>
      </c>
      <c r="B123" s="11" t="s">
        <v>231</v>
      </c>
      <c r="C123" s="12" t="s">
        <v>1183</v>
      </c>
    </row>
    <row r="124" spans="1:3" ht="11.85" customHeight="1" x14ac:dyDescent="0.2">
      <c r="A124" s="11">
        <v>70</v>
      </c>
      <c r="B124" s="11" t="s">
        <v>552</v>
      </c>
      <c r="C124" s="12" t="s">
        <v>57</v>
      </c>
    </row>
    <row r="125" spans="1:3" ht="11.85" customHeight="1" x14ac:dyDescent="0.2">
      <c r="A125" s="11">
        <v>71</v>
      </c>
      <c r="B125" s="11" t="s">
        <v>553</v>
      </c>
      <c r="C125" s="12" t="s">
        <v>58</v>
      </c>
    </row>
    <row r="126" spans="1:3" ht="11.85" customHeight="1" x14ac:dyDescent="0.2">
      <c r="A126" s="11">
        <v>72</v>
      </c>
      <c r="B126" s="11" t="s">
        <v>1912</v>
      </c>
      <c r="C126" s="12" t="s">
        <v>45</v>
      </c>
    </row>
    <row r="127" spans="1:3" ht="11.85" customHeight="1" x14ac:dyDescent="0.2">
      <c r="A127" s="11">
        <v>73</v>
      </c>
      <c r="B127" s="11" t="s">
        <v>1913</v>
      </c>
      <c r="C127" s="12" t="s">
        <v>1184</v>
      </c>
    </row>
    <row r="128" spans="1:3" ht="11.85" customHeight="1" x14ac:dyDescent="0.2">
      <c r="A128" s="11">
        <v>74</v>
      </c>
      <c r="B128" s="11" t="s">
        <v>554</v>
      </c>
      <c r="C128" s="12" t="s">
        <v>60</v>
      </c>
    </row>
    <row r="129" spans="1:3" ht="11.85" customHeight="1" x14ac:dyDescent="0.2">
      <c r="A129" s="11">
        <v>75</v>
      </c>
      <c r="B129" s="11" t="s">
        <v>555</v>
      </c>
      <c r="C129" s="12" t="s">
        <v>1185</v>
      </c>
    </row>
    <row r="130" spans="1:3" ht="11.85" customHeight="1" x14ac:dyDescent="0.2">
      <c r="A130" s="11">
        <v>76</v>
      </c>
      <c r="B130" s="11" t="s">
        <v>232</v>
      </c>
      <c r="C130" s="12" t="s">
        <v>61</v>
      </c>
    </row>
    <row r="131" spans="1:3" ht="11.85" customHeight="1" x14ac:dyDescent="0.2">
      <c r="A131" s="11">
        <v>77</v>
      </c>
      <c r="B131" s="11" t="s">
        <v>556</v>
      </c>
      <c r="C131" s="12" t="s">
        <v>1141</v>
      </c>
    </row>
    <row r="132" spans="1:3" ht="11.85" customHeight="1" x14ac:dyDescent="0.2">
      <c r="A132" s="11">
        <v>78</v>
      </c>
      <c r="B132" s="11" t="s">
        <v>557</v>
      </c>
      <c r="C132" s="12" t="s">
        <v>1140</v>
      </c>
    </row>
    <row r="133" spans="1:3" ht="11.85" customHeight="1" x14ac:dyDescent="0.2">
      <c r="A133" s="11">
        <v>79</v>
      </c>
      <c r="B133" s="11" t="s">
        <v>233</v>
      </c>
      <c r="C133" s="12" t="s">
        <v>1186</v>
      </c>
    </row>
    <row r="134" spans="1:3" ht="11.85" customHeight="1" x14ac:dyDescent="0.2">
      <c r="A134" s="11">
        <v>80</v>
      </c>
      <c r="B134" s="11" t="s">
        <v>558</v>
      </c>
      <c r="C134" s="12" t="s">
        <v>1187</v>
      </c>
    </row>
    <row r="135" spans="1:3" ht="11.85" customHeight="1" x14ac:dyDescent="0.2">
      <c r="A135" s="11">
        <v>81</v>
      </c>
      <c r="B135" s="11" t="s">
        <v>559</v>
      </c>
      <c r="C135" s="12" t="s">
        <v>1164</v>
      </c>
    </row>
    <row r="136" spans="1:3" ht="11.85" customHeight="1" x14ac:dyDescent="0.2">
      <c r="A136" s="11">
        <v>566</v>
      </c>
      <c r="B136" s="11" t="s">
        <v>560</v>
      </c>
      <c r="C136" s="12" t="s">
        <v>185</v>
      </c>
    </row>
    <row r="137" spans="1:3" ht="11.85" customHeight="1" x14ac:dyDescent="0.2">
      <c r="A137" s="11">
        <v>567</v>
      </c>
      <c r="B137" s="11" t="s">
        <v>561</v>
      </c>
      <c r="C137" s="12" t="s">
        <v>1123</v>
      </c>
    </row>
    <row r="138" spans="1:3" ht="11.85" customHeight="1" x14ac:dyDescent="0.2">
      <c r="A138" s="11">
        <v>568</v>
      </c>
      <c r="B138" s="11" t="s">
        <v>562</v>
      </c>
      <c r="C138" s="12" t="s">
        <v>187</v>
      </c>
    </row>
    <row r="139" spans="1:3" ht="11.85" customHeight="1" x14ac:dyDescent="0.2">
      <c r="A139" s="11">
        <v>569</v>
      </c>
      <c r="B139" s="11" t="s">
        <v>563</v>
      </c>
      <c r="C139" s="12" t="s">
        <v>1124</v>
      </c>
    </row>
    <row r="140" spans="1:3" ht="11.85" customHeight="1" x14ac:dyDescent="0.2">
      <c r="A140" s="11">
        <v>570</v>
      </c>
      <c r="B140" s="11" t="s">
        <v>564</v>
      </c>
      <c r="C140" s="12" t="s">
        <v>189</v>
      </c>
    </row>
    <row r="141" spans="1:3" ht="11.85" customHeight="1" x14ac:dyDescent="0.2">
      <c r="A141" s="11">
        <v>571</v>
      </c>
      <c r="B141" s="11" t="s">
        <v>565</v>
      </c>
      <c r="C141" s="12" t="s">
        <v>198</v>
      </c>
    </row>
    <row r="142" spans="1:3" ht="11.85" customHeight="1" x14ac:dyDescent="0.2">
      <c r="A142" s="11">
        <v>572</v>
      </c>
      <c r="B142" s="11" t="s">
        <v>566</v>
      </c>
      <c r="C142" s="12" t="s">
        <v>56</v>
      </c>
    </row>
    <row r="143" spans="1:3" ht="11.85" customHeight="1" x14ac:dyDescent="0.2">
      <c r="A143" s="11">
        <v>573</v>
      </c>
      <c r="B143" s="11" t="s">
        <v>567</v>
      </c>
      <c r="C143" s="12" t="s">
        <v>1125</v>
      </c>
    </row>
    <row r="144" spans="1:3" ht="11.85" customHeight="1" x14ac:dyDescent="0.2">
      <c r="A144" s="11">
        <v>574</v>
      </c>
      <c r="B144" s="11" t="s">
        <v>568</v>
      </c>
      <c r="C144" s="12" t="s">
        <v>1118</v>
      </c>
    </row>
    <row r="145" spans="1:3" ht="11.85" customHeight="1" x14ac:dyDescent="0.2">
      <c r="A145" s="11">
        <v>575</v>
      </c>
      <c r="B145" s="11" t="s">
        <v>569</v>
      </c>
      <c r="C145" s="12" t="s">
        <v>1126</v>
      </c>
    </row>
    <row r="146" spans="1:3" ht="11.85" customHeight="1" x14ac:dyDescent="0.2">
      <c r="A146" s="11">
        <v>576</v>
      </c>
      <c r="B146" s="11" t="s">
        <v>570</v>
      </c>
      <c r="C146" s="12" t="s">
        <v>192</v>
      </c>
    </row>
    <row r="147" spans="1:3" ht="11.85" customHeight="1" x14ac:dyDescent="0.2">
      <c r="A147" s="11">
        <v>577</v>
      </c>
      <c r="B147" s="11" t="s">
        <v>571</v>
      </c>
      <c r="C147" s="12" t="s">
        <v>1127</v>
      </c>
    </row>
    <row r="148" spans="1:3" ht="11.85" customHeight="1" x14ac:dyDescent="0.2">
      <c r="A148" s="11">
        <v>578</v>
      </c>
      <c r="B148" s="11" t="s">
        <v>572</v>
      </c>
      <c r="C148" s="12" t="s">
        <v>1119</v>
      </c>
    </row>
    <row r="149" spans="1:3" ht="11.85" customHeight="1" x14ac:dyDescent="0.2">
      <c r="A149" s="11">
        <v>579</v>
      </c>
      <c r="B149" s="11" t="s">
        <v>573</v>
      </c>
      <c r="C149" s="12" t="s">
        <v>1128</v>
      </c>
    </row>
    <row r="150" spans="1:3" ht="11.85" customHeight="1" x14ac:dyDescent="0.2">
      <c r="A150" s="11">
        <v>580</v>
      </c>
      <c r="B150" s="11" t="s">
        <v>574</v>
      </c>
      <c r="C150" s="12" t="s">
        <v>1188</v>
      </c>
    </row>
    <row r="151" spans="1:3" ht="11.85" customHeight="1" x14ac:dyDescent="0.2">
      <c r="A151" s="11">
        <v>581</v>
      </c>
      <c r="B151" s="11" t="s">
        <v>575</v>
      </c>
      <c r="C151" s="12" t="s">
        <v>1189</v>
      </c>
    </row>
    <row r="152" spans="1:3" ht="11.85" customHeight="1" x14ac:dyDescent="0.2">
      <c r="A152" s="11">
        <v>582</v>
      </c>
      <c r="B152" s="11" t="s">
        <v>576</v>
      </c>
      <c r="C152" s="12" t="s">
        <v>1121</v>
      </c>
    </row>
    <row r="153" spans="1:3" ht="11.85" customHeight="1" x14ac:dyDescent="0.2">
      <c r="A153" s="11">
        <v>583</v>
      </c>
      <c r="B153" s="11" t="s">
        <v>577</v>
      </c>
      <c r="C153" s="12" t="s">
        <v>1130</v>
      </c>
    </row>
    <row r="154" spans="1:3" ht="11.85" customHeight="1" x14ac:dyDescent="0.2">
      <c r="A154" s="11">
        <v>584</v>
      </c>
      <c r="B154" s="11" t="s">
        <v>578</v>
      </c>
      <c r="C154" s="12" t="s">
        <v>1122</v>
      </c>
    </row>
    <row r="155" spans="1:3" ht="11.85" customHeight="1" x14ac:dyDescent="0.2">
      <c r="A155" s="11">
        <v>585</v>
      </c>
      <c r="B155" s="11" t="s">
        <v>579</v>
      </c>
      <c r="C155" s="12" t="s">
        <v>1190</v>
      </c>
    </row>
    <row r="156" spans="1:3" ht="11.85" customHeight="1" x14ac:dyDescent="0.2">
      <c r="A156" s="11">
        <v>82</v>
      </c>
      <c r="B156" s="11" t="s">
        <v>580</v>
      </c>
      <c r="C156" s="12" t="s">
        <v>1191</v>
      </c>
    </row>
    <row r="157" spans="1:3" ht="11.85" customHeight="1" x14ac:dyDescent="0.2">
      <c r="A157" s="11">
        <v>586</v>
      </c>
      <c r="B157" s="11" t="s">
        <v>581</v>
      </c>
      <c r="C157" s="12" t="s">
        <v>227</v>
      </c>
    </row>
    <row r="158" spans="1:3" ht="11.85" customHeight="1" x14ac:dyDescent="0.2">
      <c r="A158" s="11">
        <v>83</v>
      </c>
      <c r="B158" s="11" t="s">
        <v>582</v>
      </c>
      <c r="C158" s="12" t="s">
        <v>1192</v>
      </c>
    </row>
    <row r="159" spans="1:3" ht="11.85" customHeight="1" x14ac:dyDescent="0.2">
      <c r="A159" s="11">
        <v>587</v>
      </c>
      <c r="B159" s="11" t="s">
        <v>1914</v>
      </c>
      <c r="C159" s="12" t="s">
        <v>1193</v>
      </c>
    </row>
    <row r="160" spans="1:3" ht="11.85" customHeight="1" x14ac:dyDescent="0.2">
      <c r="A160" s="11">
        <v>84</v>
      </c>
      <c r="B160" s="11" t="s">
        <v>583</v>
      </c>
      <c r="C160" s="12" t="s">
        <v>1194</v>
      </c>
    </row>
    <row r="161" spans="1:3" ht="11.85" customHeight="1" x14ac:dyDescent="0.2">
      <c r="A161" s="11">
        <v>85</v>
      </c>
      <c r="B161" s="11" t="s">
        <v>584</v>
      </c>
      <c r="C161" s="12" t="s">
        <v>1195</v>
      </c>
    </row>
    <row r="162" spans="1:3" ht="11.85" customHeight="1" x14ac:dyDescent="0.2">
      <c r="A162" s="11">
        <v>86</v>
      </c>
      <c r="B162" s="11" t="s">
        <v>585</v>
      </c>
      <c r="C162" s="12" t="s">
        <v>1196</v>
      </c>
    </row>
    <row r="163" spans="1:3" ht="11.85" customHeight="1" x14ac:dyDescent="0.2">
      <c r="A163" s="11">
        <v>88</v>
      </c>
      <c r="B163" s="11" t="s">
        <v>586</v>
      </c>
      <c r="C163" s="12" t="s">
        <v>72</v>
      </c>
    </row>
    <row r="164" spans="1:3" ht="11.85" customHeight="1" x14ac:dyDescent="0.2">
      <c r="A164" s="11">
        <v>89</v>
      </c>
      <c r="B164" s="11" t="s">
        <v>587</v>
      </c>
      <c r="C164" s="12" t="s">
        <v>1197</v>
      </c>
    </row>
    <row r="165" spans="1:3" ht="11.85" customHeight="1" x14ac:dyDescent="0.2">
      <c r="A165" s="11">
        <v>95</v>
      </c>
      <c r="B165" s="11" t="s">
        <v>593</v>
      </c>
      <c r="C165" s="12" t="s">
        <v>1203</v>
      </c>
    </row>
    <row r="166" spans="1:3" ht="11.85" customHeight="1" x14ac:dyDescent="0.2">
      <c r="A166" s="11">
        <v>96</v>
      </c>
      <c r="B166" s="11" t="s">
        <v>594</v>
      </c>
      <c r="C166" s="12" t="s">
        <v>1204</v>
      </c>
    </row>
    <row r="167" spans="1:3" ht="11.85" customHeight="1" x14ac:dyDescent="0.2">
      <c r="A167" s="11">
        <v>97</v>
      </c>
      <c r="B167" s="11" t="s">
        <v>595</v>
      </c>
      <c r="C167" s="12" t="s">
        <v>1205</v>
      </c>
    </row>
    <row r="168" spans="1:3" ht="11.85" customHeight="1" x14ac:dyDescent="0.2">
      <c r="A168" s="11">
        <v>98</v>
      </c>
      <c r="B168" s="11" t="s">
        <v>596</v>
      </c>
      <c r="C168" s="12" t="s">
        <v>1206</v>
      </c>
    </row>
    <row r="169" spans="1:3" ht="11.85" customHeight="1" x14ac:dyDescent="0.2">
      <c r="A169" s="11">
        <v>99</v>
      </c>
      <c r="B169" s="11" t="s">
        <v>597</v>
      </c>
      <c r="C169" s="12" t="s">
        <v>1207</v>
      </c>
    </row>
    <row r="170" spans="1:3" ht="11.85" customHeight="1" x14ac:dyDescent="0.2">
      <c r="A170" s="11">
        <v>100</v>
      </c>
      <c r="B170" s="11" t="s">
        <v>598</v>
      </c>
      <c r="C170" s="12" t="s">
        <v>1208</v>
      </c>
    </row>
    <row r="171" spans="1:3" ht="11.85" customHeight="1" x14ac:dyDescent="0.2">
      <c r="A171" s="11">
        <v>101</v>
      </c>
      <c r="B171" s="11" t="s">
        <v>599</v>
      </c>
      <c r="C171" s="12" t="s">
        <v>1209</v>
      </c>
    </row>
    <row r="172" spans="1:3" ht="11.85" customHeight="1" x14ac:dyDescent="0.2">
      <c r="A172" s="11">
        <v>102</v>
      </c>
      <c r="B172" s="11" t="s">
        <v>600</v>
      </c>
      <c r="C172" s="12" t="s">
        <v>1210</v>
      </c>
    </row>
    <row r="173" spans="1:3" ht="11.85" customHeight="1" x14ac:dyDescent="0.2">
      <c r="A173" s="11">
        <v>103</v>
      </c>
      <c r="B173" s="11" t="s">
        <v>601</v>
      </c>
      <c r="C173" s="12" t="s">
        <v>1211</v>
      </c>
    </row>
    <row r="174" spans="1:3" ht="11.85" customHeight="1" x14ac:dyDescent="0.2">
      <c r="A174" s="11">
        <v>104</v>
      </c>
      <c r="B174" s="11" t="s">
        <v>602</v>
      </c>
      <c r="C174" s="12" t="s">
        <v>1212</v>
      </c>
    </row>
    <row r="175" spans="1:3" ht="11.85" customHeight="1" x14ac:dyDescent="0.2">
      <c r="A175" s="11">
        <v>105</v>
      </c>
      <c r="B175" s="11" t="s">
        <v>603</v>
      </c>
      <c r="C175" s="12" t="s">
        <v>1213</v>
      </c>
    </row>
    <row r="176" spans="1:3" ht="11.85" customHeight="1" x14ac:dyDescent="0.2">
      <c r="A176" s="11">
        <v>106</v>
      </c>
      <c r="B176" s="11" t="s">
        <v>604</v>
      </c>
      <c r="C176" s="12" t="s">
        <v>1214</v>
      </c>
    </row>
    <row r="177" spans="1:3" ht="11.85" customHeight="1" x14ac:dyDescent="0.2">
      <c r="A177" s="11">
        <v>107</v>
      </c>
      <c r="B177" s="11" t="s">
        <v>605</v>
      </c>
      <c r="C177" s="12" t="s">
        <v>1215</v>
      </c>
    </row>
    <row r="178" spans="1:3" ht="11.85" customHeight="1" x14ac:dyDescent="0.2">
      <c r="A178" s="11">
        <v>108</v>
      </c>
      <c r="B178" s="11" t="s">
        <v>606</v>
      </c>
      <c r="C178" s="12" t="s">
        <v>1216</v>
      </c>
    </row>
    <row r="179" spans="1:3" ht="11.85" customHeight="1" x14ac:dyDescent="0.2">
      <c r="A179" s="11">
        <v>109</v>
      </c>
      <c r="B179" s="11" t="s">
        <v>607</v>
      </c>
      <c r="C179" s="12" t="s">
        <v>1217</v>
      </c>
    </row>
    <row r="180" spans="1:3" ht="11.85" customHeight="1" x14ac:dyDescent="0.2">
      <c r="A180" s="11">
        <v>110</v>
      </c>
      <c r="B180" s="11" t="s">
        <v>608</v>
      </c>
      <c r="C180" s="12" t="s">
        <v>1218</v>
      </c>
    </row>
    <row r="181" spans="1:3" ht="11.85" customHeight="1" x14ac:dyDescent="0.2">
      <c r="A181" s="11">
        <v>111</v>
      </c>
      <c r="B181" s="11" t="s">
        <v>236</v>
      </c>
      <c r="C181" s="12" t="s">
        <v>73</v>
      </c>
    </row>
    <row r="182" spans="1:3" ht="11.85" customHeight="1" x14ac:dyDescent="0.2">
      <c r="A182" s="11">
        <v>112</v>
      </c>
      <c r="B182" s="11" t="s">
        <v>237</v>
      </c>
      <c r="C182" s="12" t="s">
        <v>74</v>
      </c>
    </row>
    <row r="183" spans="1:3" ht="11.85" customHeight="1" x14ac:dyDescent="0.2">
      <c r="A183" s="11">
        <v>113</v>
      </c>
      <c r="B183" s="11" t="s">
        <v>609</v>
      </c>
      <c r="C183" s="12" t="s">
        <v>1219</v>
      </c>
    </row>
    <row r="184" spans="1:3" ht="11.85" customHeight="1" x14ac:dyDescent="0.2">
      <c r="A184" s="11">
        <v>115</v>
      </c>
      <c r="B184" s="11" t="s">
        <v>610</v>
      </c>
      <c r="C184" s="12" t="s">
        <v>1220</v>
      </c>
    </row>
    <row r="185" spans="1:3" ht="11.85" customHeight="1" x14ac:dyDescent="0.2">
      <c r="A185" s="11">
        <v>114</v>
      </c>
      <c r="B185" s="11" t="s">
        <v>611</v>
      </c>
      <c r="C185" s="12" t="s">
        <v>1221</v>
      </c>
    </row>
    <row r="186" spans="1:3" ht="11.85" customHeight="1" x14ac:dyDescent="0.2">
      <c r="A186" s="11">
        <v>588</v>
      </c>
      <c r="B186" s="11" t="s">
        <v>612</v>
      </c>
      <c r="C186" s="12" t="s">
        <v>164</v>
      </c>
    </row>
    <row r="187" spans="1:3" ht="11.85" customHeight="1" x14ac:dyDescent="0.2">
      <c r="A187" s="11">
        <v>589</v>
      </c>
      <c r="B187" s="11" t="s">
        <v>238</v>
      </c>
      <c r="C187" s="12" t="s">
        <v>239</v>
      </c>
    </row>
    <row r="188" spans="1:3" ht="11.85" customHeight="1" x14ac:dyDescent="0.2">
      <c r="A188" s="11">
        <v>116</v>
      </c>
      <c r="B188" s="11" t="s">
        <v>240</v>
      </c>
      <c r="C188" s="12" t="s">
        <v>75</v>
      </c>
    </row>
    <row r="189" spans="1:3" ht="11.85" customHeight="1" x14ac:dyDescent="0.2">
      <c r="A189" s="11">
        <v>117</v>
      </c>
      <c r="B189" s="11" t="s">
        <v>242</v>
      </c>
      <c r="C189" s="12" t="s">
        <v>1928</v>
      </c>
    </row>
    <row r="190" spans="1:3" ht="11.85" customHeight="1" x14ac:dyDescent="0.2">
      <c r="A190" s="11">
        <v>590</v>
      </c>
      <c r="B190" s="11" t="s">
        <v>244</v>
      </c>
      <c r="C190" s="12" t="s">
        <v>1929</v>
      </c>
    </row>
    <row r="191" spans="1:3" ht="11.85" customHeight="1" x14ac:dyDescent="0.2">
      <c r="A191" s="11">
        <v>591</v>
      </c>
      <c r="B191" s="11" t="s">
        <v>246</v>
      </c>
      <c r="C191" s="12" t="s">
        <v>76</v>
      </c>
    </row>
    <row r="192" spans="1:3" ht="11.85" customHeight="1" x14ac:dyDescent="0.2">
      <c r="A192" s="11">
        <v>592</v>
      </c>
      <c r="B192" s="11" t="s">
        <v>247</v>
      </c>
      <c r="C192" s="12" t="s">
        <v>1930</v>
      </c>
    </row>
    <row r="193" spans="1:3" ht="11.85" customHeight="1" x14ac:dyDescent="0.2">
      <c r="A193" s="11">
        <v>593</v>
      </c>
      <c r="B193" s="11" t="s">
        <v>613</v>
      </c>
      <c r="C193" s="12" t="s">
        <v>1222</v>
      </c>
    </row>
    <row r="194" spans="1:3" ht="11.85" customHeight="1" x14ac:dyDescent="0.2">
      <c r="A194" s="11">
        <v>1003</v>
      </c>
      <c r="B194" s="11" t="s">
        <v>249</v>
      </c>
      <c r="C194" s="12" t="s">
        <v>250</v>
      </c>
    </row>
    <row r="195" spans="1:3" ht="11.85" customHeight="1" x14ac:dyDescent="0.2">
      <c r="A195" s="11">
        <v>118</v>
      </c>
      <c r="B195" s="11" t="s">
        <v>614</v>
      </c>
      <c r="C195" s="12" t="s">
        <v>1223</v>
      </c>
    </row>
    <row r="196" spans="1:3" ht="11.85" customHeight="1" x14ac:dyDescent="0.2">
      <c r="A196" s="11">
        <v>119</v>
      </c>
      <c r="B196" s="11" t="s">
        <v>615</v>
      </c>
      <c r="C196" s="12" t="s">
        <v>1224</v>
      </c>
    </row>
    <row r="197" spans="1:3" ht="11.85" customHeight="1" x14ac:dyDescent="0.2">
      <c r="A197" s="11">
        <v>120</v>
      </c>
      <c r="B197" s="11" t="s">
        <v>616</v>
      </c>
      <c r="C197" s="12" t="s">
        <v>1225</v>
      </c>
    </row>
    <row r="198" spans="1:3" ht="11.85" customHeight="1" x14ac:dyDescent="0.2">
      <c r="A198" s="11">
        <v>121</v>
      </c>
      <c r="B198" s="11" t="s">
        <v>617</v>
      </c>
      <c r="C198" s="12" t="s">
        <v>1225</v>
      </c>
    </row>
    <row r="199" spans="1:3" ht="11.85" customHeight="1" x14ac:dyDescent="0.2">
      <c r="A199" s="11">
        <v>122</v>
      </c>
      <c r="B199" s="11" t="s">
        <v>618</v>
      </c>
      <c r="C199" s="12" t="s">
        <v>1226</v>
      </c>
    </row>
    <row r="200" spans="1:3" ht="11.85" customHeight="1" x14ac:dyDescent="0.2">
      <c r="A200" s="11">
        <v>124</v>
      </c>
      <c r="B200" s="11" t="s">
        <v>619</v>
      </c>
      <c r="C200" s="12" t="s">
        <v>1227</v>
      </c>
    </row>
    <row r="201" spans="1:3" ht="11.85" customHeight="1" x14ac:dyDescent="0.2">
      <c r="A201" s="11">
        <v>125</v>
      </c>
      <c r="B201" s="11" t="s">
        <v>255</v>
      </c>
      <c r="C201" s="12" t="s">
        <v>77</v>
      </c>
    </row>
    <row r="202" spans="1:3" ht="11.85" customHeight="1" x14ac:dyDescent="0.2">
      <c r="A202" s="11">
        <v>126</v>
      </c>
      <c r="B202" s="11" t="s">
        <v>620</v>
      </c>
      <c r="C202" s="12" t="s">
        <v>1228</v>
      </c>
    </row>
    <row r="203" spans="1:3" ht="11.85" customHeight="1" x14ac:dyDescent="0.2">
      <c r="A203" s="11">
        <v>127</v>
      </c>
      <c r="B203" s="11" t="s">
        <v>256</v>
      </c>
      <c r="C203" s="12" t="s">
        <v>257</v>
      </c>
    </row>
    <row r="204" spans="1:3" ht="11.85" customHeight="1" x14ac:dyDescent="0.2">
      <c r="A204" s="11">
        <v>128</v>
      </c>
      <c r="B204" s="11" t="s">
        <v>258</v>
      </c>
      <c r="C204" s="12" t="s">
        <v>1931</v>
      </c>
    </row>
    <row r="205" spans="1:3" ht="11.85" customHeight="1" x14ac:dyDescent="0.2">
      <c r="A205" s="11">
        <v>129</v>
      </c>
      <c r="B205" s="11" t="s">
        <v>260</v>
      </c>
      <c r="C205" s="12" t="s">
        <v>1932</v>
      </c>
    </row>
    <row r="206" spans="1:3" ht="11.85" customHeight="1" x14ac:dyDescent="0.2">
      <c r="A206" s="11">
        <v>130</v>
      </c>
      <c r="B206" s="11" t="s">
        <v>261</v>
      </c>
      <c r="C206" s="12" t="s">
        <v>163</v>
      </c>
    </row>
    <row r="207" spans="1:3" ht="11.85" customHeight="1" x14ac:dyDescent="0.2">
      <c r="A207" s="11">
        <v>131</v>
      </c>
      <c r="B207" s="11" t="s">
        <v>262</v>
      </c>
      <c r="C207" s="12" t="s">
        <v>1933</v>
      </c>
    </row>
    <row r="208" spans="1:3" ht="11.85" customHeight="1" x14ac:dyDescent="0.2">
      <c r="A208" s="11">
        <v>594</v>
      </c>
      <c r="B208" s="11" t="s">
        <v>622</v>
      </c>
      <c r="C208" s="12" t="s">
        <v>1222</v>
      </c>
    </row>
    <row r="209" spans="1:3" ht="11.85" customHeight="1" x14ac:dyDescent="0.2">
      <c r="A209" s="11">
        <v>595</v>
      </c>
      <c r="B209" s="11" t="s">
        <v>623</v>
      </c>
      <c r="C209" s="12" t="s">
        <v>1230</v>
      </c>
    </row>
    <row r="210" spans="1:3" ht="11.85" customHeight="1" x14ac:dyDescent="0.2">
      <c r="A210" s="11">
        <v>596</v>
      </c>
      <c r="B210" s="11" t="s">
        <v>624</v>
      </c>
      <c r="C210" s="12" t="s">
        <v>1231</v>
      </c>
    </row>
    <row r="211" spans="1:3" ht="11.85" customHeight="1" x14ac:dyDescent="0.2">
      <c r="A211" s="11">
        <v>597</v>
      </c>
      <c r="B211" s="11" t="s">
        <v>625</v>
      </c>
      <c r="C211" s="12" t="s">
        <v>1232</v>
      </c>
    </row>
    <row r="212" spans="1:3" ht="11.85" customHeight="1" x14ac:dyDescent="0.2">
      <c r="A212" s="11">
        <v>598</v>
      </c>
      <c r="B212" s="11" t="s">
        <v>626</v>
      </c>
      <c r="C212" s="12" t="s">
        <v>76</v>
      </c>
    </row>
    <row r="213" spans="1:3" ht="11.85" customHeight="1" x14ac:dyDescent="0.2">
      <c r="A213" s="11">
        <v>599</v>
      </c>
      <c r="B213" s="11" t="s">
        <v>627</v>
      </c>
      <c r="C213" s="12" t="s">
        <v>248</v>
      </c>
    </row>
    <row r="214" spans="1:3" ht="11.85" customHeight="1" x14ac:dyDescent="0.2">
      <c r="A214" s="11">
        <v>600</v>
      </c>
      <c r="B214" s="11" t="s">
        <v>628</v>
      </c>
      <c r="C214" s="12" t="s">
        <v>1222</v>
      </c>
    </row>
    <row r="215" spans="1:3" ht="11.85" customHeight="1" x14ac:dyDescent="0.2">
      <c r="A215" s="11">
        <v>601</v>
      </c>
      <c r="B215" s="11" t="s">
        <v>629</v>
      </c>
      <c r="C215" s="12" t="s">
        <v>1233</v>
      </c>
    </row>
    <row r="216" spans="1:3" ht="11.85" customHeight="1" x14ac:dyDescent="0.2">
      <c r="A216" s="11">
        <v>602</v>
      </c>
      <c r="B216" s="11" t="s">
        <v>630</v>
      </c>
      <c r="C216" s="12" t="s">
        <v>1234</v>
      </c>
    </row>
    <row r="217" spans="1:3" ht="11.85" customHeight="1" x14ac:dyDescent="0.2">
      <c r="A217" s="11">
        <v>603</v>
      </c>
      <c r="B217" s="11" t="s">
        <v>631</v>
      </c>
      <c r="C217" s="12" t="s">
        <v>1235</v>
      </c>
    </row>
    <row r="218" spans="1:3" ht="11.85" customHeight="1" x14ac:dyDescent="0.2">
      <c r="A218" s="11">
        <v>604</v>
      </c>
      <c r="B218" s="11" t="s">
        <v>632</v>
      </c>
      <c r="C218" s="12" t="s">
        <v>76</v>
      </c>
    </row>
    <row r="219" spans="1:3" ht="11.85" customHeight="1" x14ac:dyDescent="0.2">
      <c r="A219" s="11">
        <v>605</v>
      </c>
      <c r="B219" s="11" t="s">
        <v>633</v>
      </c>
      <c r="C219" s="12" t="s">
        <v>1222</v>
      </c>
    </row>
    <row r="220" spans="1:3" ht="11.85" customHeight="1" x14ac:dyDescent="0.2">
      <c r="A220" s="11">
        <v>502</v>
      </c>
      <c r="B220" s="11" t="s">
        <v>268</v>
      </c>
      <c r="C220" s="12" t="s">
        <v>78</v>
      </c>
    </row>
    <row r="221" spans="1:3" ht="11.85" customHeight="1" x14ac:dyDescent="0.2">
      <c r="A221" s="11">
        <v>123</v>
      </c>
      <c r="B221" s="11" t="s">
        <v>269</v>
      </c>
      <c r="C221" s="12" t="s">
        <v>270</v>
      </c>
    </row>
    <row r="222" spans="1:3" ht="11.85" customHeight="1" x14ac:dyDescent="0.2">
      <c r="A222" s="11">
        <v>606</v>
      </c>
      <c r="B222" s="11" t="s">
        <v>634</v>
      </c>
      <c r="C222" s="12" t="s">
        <v>1236</v>
      </c>
    </row>
    <row r="223" spans="1:3" ht="11.85" customHeight="1" x14ac:dyDescent="0.2">
      <c r="A223" s="11">
        <v>607</v>
      </c>
      <c r="B223" s="11" t="s">
        <v>271</v>
      </c>
      <c r="C223" s="12" t="s">
        <v>272</v>
      </c>
    </row>
    <row r="224" spans="1:3" ht="11.85" customHeight="1" x14ac:dyDescent="0.2">
      <c r="A224" s="11">
        <v>608</v>
      </c>
      <c r="B224" s="11" t="s">
        <v>635</v>
      </c>
      <c r="C224" s="12" t="s">
        <v>1237</v>
      </c>
    </row>
    <row r="225" spans="1:3" ht="11.85" customHeight="1" x14ac:dyDescent="0.2">
      <c r="A225" s="11">
        <v>609</v>
      </c>
      <c r="B225" s="11" t="s">
        <v>636</v>
      </c>
      <c r="C225" s="12" t="s">
        <v>1238</v>
      </c>
    </row>
    <row r="226" spans="1:3" ht="11.85" customHeight="1" x14ac:dyDescent="0.2">
      <c r="A226" s="11">
        <v>610</v>
      </c>
      <c r="B226" s="11" t="s">
        <v>273</v>
      </c>
      <c r="C226" s="12" t="s">
        <v>274</v>
      </c>
    </row>
    <row r="227" spans="1:3" ht="11.85" customHeight="1" x14ac:dyDescent="0.2">
      <c r="A227" s="11">
        <v>611</v>
      </c>
      <c r="B227" s="11" t="s">
        <v>637</v>
      </c>
      <c r="C227" s="12" t="s">
        <v>1239</v>
      </c>
    </row>
    <row r="228" spans="1:3" ht="11.85" customHeight="1" x14ac:dyDescent="0.2">
      <c r="A228" s="11">
        <v>612</v>
      </c>
      <c r="B228" s="11" t="s">
        <v>275</v>
      </c>
      <c r="C228" s="12" t="s">
        <v>276</v>
      </c>
    </row>
    <row r="229" spans="1:3" ht="11.85" customHeight="1" x14ac:dyDescent="0.2">
      <c r="A229" s="11">
        <v>613</v>
      </c>
      <c r="B229" s="11" t="s">
        <v>277</v>
      </c>
      <c r="C229" s="12" t="s">
        <v>278</v>
      </c>
    </row>
    <row r="230" spans="1:3" ht="11.85" customHeight="1" x14ac:dyDescent="0.2">
      <c r="A230" s="11">
        <v>614</v>
      </c>
      <c r="B230" s="11" t="s">
        <v>279</v>
      </c>
      <c r="C230" s="12" t="s">
        <v>272</v>
      </c>
    </row>
    <row r="231" spans="1:3" ht="11.85" customHeight="1" x14ac:dyDescent="0.2">
      <c r="A231" s="11">
        <v>615</v>
      </c>
      <c r="B231" s="11" t="s">
        <v>638</v>
      </c>
      <c r="C231" s="12" t="s">
        <v>1240</v>
      </c>
    </row>
    <row r="232" spans="1:3" ht="11.85" customHeight="1" x14ac:dyDescent="0.2">
      <c r="A232" s="11">
        <v>616</v>
      </c>
      <c r="B232" s="11" t="s">
        <v>639</v>
      </c>
      <c r="C232" s="12" t="s">
        <v>357</v>
      </c>
    </row>
    <row r="233" spans="1:3" ht="11.85" customHeight="1" x14ac:dyDescent="0.2">
      <c r="A233" s="11">
        <v>617</v>
      </c>
      <c r="B233" s="11" t="s">
        <v>640</v>
      </c>
      <c r="C233" s="12" t="s">
        <v>357</v>
      </c>
    </row>
    <row r="234" spans="1:3" ht="11.85" customHeight="1" x14ac:dyDescent="0.2">
      <c r="A234" s="11">
        <v>618</v>
      </c>
      <c r="B234" s="11" t="s">
        <v>641</v>
      </c>
      <c r="C234" s="12" t="s">
        <v>360</v>
      </c>
    </row>
    <row r="235" spans="1:3" ht="11.85" customHeight="1" x14ac:dyDescent="0.2">
      <c r="A235" s="11">
        <v>149</v>
      </c>
      <c r="B235" s="11" t="s">
        <v>280</v>
      </c>
      <c r="C235" s="12" t="s">
        <v>79</v>
      </c>
    </row>
    <row r="236" spans="1:3" ht="11.85" customHeight="1" x14ac:dyDescent="0.2">
      <c r="A236" s="11">
        <v>150</v>
      </c>
      <c r="B236" s="11" t="s">
        <v>281</v>
      </c>
      <c r="C236" s="12" t="s">
        <v>80</v>
      </c>
    </row>
    <row r="237" spans="1:3" ht="11.85" customHeight="1" x14ac:dyDescent="0.2">
      <c r="A237" s="11">
        <v>164</v>
      </c>
      <c r="B237" s="11" t="s">
        <v>282</v>
      </c>
      <c r="C237" s="12" t="s">
        <v>6</v>
      </c>
    </row>
    <row r="238" spans="1:3" ht="11.85" customHeight="1" x14ac:dyDescent="0.2">
      <c r="A238" s="11">
        <v>165</v>
      </c>
      <c r="B238" s="11" t="s">
        <v>283</v>
      </c>
      <c r="C238" s="12" t="s">
        <v>6</v>
      </c>
    </row>
    <row r="239" spans="1:3" ht="11.85" customHeight="1" x14ac:dyDescent="0.2">
      <c r="A239" s="11">
        <v>1361</v>
      </c>
      <c r="B239" s="11" t="s">
        <v>284</v>
      </c>
      <c r="C239" s="12" t="s">
        <v>1258</v>
      </c>
    </row>
    <row r="240" spans="1:3" ht="11.85" customHeight="1" x14ac:dyDescent="0.2">
      <c r="A240" s="11">
        <v>1363</v>
      </c>
      <c r="B240" s="11" t="s">
        <v>284</v>
      </c>
      <c r="C240" s="12" t="s">
        <v>1934</v>
      </c>
    </row>
    <row r="241" spans="1:3" ht="11.85" customHeight="1" x14ac:dyDescent="0.2">
      <c r="A241" s="11">
        <v>1364</v>
      </c>
      <c r="B241" s="11" t="s">
        <v>284</v>
      </c>
      <c r="C241" s="12" t="s">
        <v>1935</v>
      </c>
    </row>
    <row r="242" spans="1:3" ht="11.85" customHeight="1" x14ac:dyDescent="0.2">
      <c r="A242" s="11">
        <v>1365</v>
      </c>
      <c r="B242" s="11" t="s">
        <v>284</v>
      </c>
      <c r="C242" s="12" t="s">
        <v>1936</v>
      </c>
    </row>
    <row r="243" spans="1:3" ht="11.85" customHeight="1" x14ac:dyDescent="0.2">
      <c r="A243" s="11">
        <v>505</v>
      </c>
      <c r="B243" s="11" t="s">
        <v>284</v>
      </c>
      <c r="C243" s="12" t="s">
        <v>21</v>
      </c>
    </row>
    <row r="244" spans="1:3" ht="11.85" customHeight="1" x14ac:dyDescent="0.2">
      <c r="A244" s="11">
        <v>1362</v>
      </c>
      <c r="B244" s="11" t="s">
        <v>284</v>
      </c>
      <c r="C244" s="12" t="s">
        <v>1937</v>
      </c>
    </row>
    <row r="245" spans="1:3" ht="11.85" customHeight="1" x14ac:dyDescent="0.2">
      <c r="A245" s="11">
        <v>168</v>
      </c>
      <c r="B245" s="11" t="s">
        <v>285</v>
      </c>
      <c r="C245" s="12" t="s">
        <v>1508</v>
      </c>
    </row>
    <row r="246" spans="1:3" ht="11.85" customHeight="1" x14ac:dyDescent="0.2">
      <c r="A246" s="11">
        <v>619</v>
      </c>
      <c r="B246" s="11" t="s">
        <v>286</v>
      </c>
      <c r="C246" s="12" t="s">
        <v>21</v>
      </c>
    </row>
    <row r="247" spans="1:3" ht="11.85" customHeight="1" x14ac:dyDescent="0.2">
      <c r="A247" s="11">
        <v>382</v>
      </c>
      <c r="B247" s="11" t="s">
        <v>287</v>
      </c>
      <c r="C247" s="12" t="s">
        <v>81</v>
      </c>
    </row>
    <row r="248" spans="1:3" ht="11.85" customHeight="1" x14ac:dyDescent="0.2">
      <c r="A248" s="11">
        <v>151</v>
      </c>
      <c r="B248" s="11" t="s">
        <v>288</v>
      </c>
      <c r="C248" s="12" t="s">
        <v>82</v>
      </c>
    </row>
    <row r="249" spans="1:3" ht="11.85" customHeight="1" x14ac:dyDescent="0.2">
      <c r="A249" s="11">
        <v>152</v>
      </c>
      <c r="B249" s="11" t="s">
        <v>642</v>
      </c>
      <c r="C249" s="12" t="s">
        <v>185</v>
      </c>
    </row>
    <row r="250" spans="1:3" ht="11.85" customHeight="1" x14ac:dyDescent="0.2">
      <c r="A250" s="11">
        <v>620</v>
      </c>
      <c r="B250" s="11" t="s">
        <v>643</v>
      </c>
      <c r="C250" s="12" t="s">
        <v>1123</v>
      </c>
    </row>
    <row r="251" spans="1:3" ht="11.85" customHeight="1" x14ac:dyDescent="0.2">
      <c r="A251" s="11">
        <v>621</v>
      </c>
      <c r="B251" s="11" t="s">
        <v>289</v>
      </c>
      <c r="C251" s="12" t="s">
        <v>187</v>
      </c>
    </row>
    <row r="252" spans="1:3" ht="11.85" customHeight="1" x14ac:dyDescent="0.2">
      <c r="A252" s="11">
        <v>622</v>
      </c>
      <c r="B252" s="11" t="s">
        <v>644</v>
      </c>
      <c r="C252" s="12" t="s">
        <v>1124</v>
      </c>
    </row>
    <row r="253" spans="1:3" ht="11.85" customHeight="1" x14ac:dyDescent="0.2">
      <c r="A253" s="11">
        <v>623</v>
      </c>
      <c r="B253" s="11" t="s">
        <v>645</v>
      </c>
      <c r="C253" s="12" t="s">
        <v>189</v>
      </c>
    </row>
    <row r="254" spans="1:3" ht="11.85" customHeight="1" x14ac:dyDescent="0.2">
      <c r="A254" s="11">
        <v>624</v>
      </c>
      <c r="B254" s="11" t="s">
        <v>646</v>
      </c>
      <c r="C254" s="12" t="s">
        <v>198</v>
      </c>
    </row>
    <row r="255" spans="1:3" ht="11.85" customHeight="1" x14ac:dyDescent="0.2">
      <c r="A255" s="11">
        <v>625</v>
      </c>
      <c r="B255" s="11" t="s">
        <v>647</v>
      </c>
      <c r="C255" s="12" t="s">
        <v>56</v>
      </c>
    </row>
    <row r="256" spans="1:3" ht="11.85" customHeight="1" x14ac:dyDescent="0.2">
      <c r="A256" s="11">
        <v>627</v>
      </c>
      <c r="B256" s="11" t="s">
        <v>648</v>
      </c>
      <c r="C256" s="12" t="s">
        <v>1118</v>
      </c>
    </row>
    <row r="257" spans="1:3" ht="11.85" customHeight="1" x14ac:dyDescent="0.2">
      <c r="A257" s="11">
        <v>628</v>
      </c>
      <c r="B257" s="11" t="s">
        <v>649</v>
      </c>
      <c r="C257" s="12" t="s">
        <v>1126</v>
      </c>
    </row>
    <row r="258" spans="1:3" ht="11.85" customHeight="1" x14ac:dyDescent="0.2">
      <c r="A258" s="11">
        <v>629</v>
      </c>
      <c r="B258" s="11" t="s">
        <v>650</v>
      </c>
      <c r="C258" s="12" t="s">
        <v>192</v>
      </c>
    </row>
    <row r="259" spans="1:3" ht="11.85" customHeight="1" x14ac:dyDescent="0.2">
      <c r="A259" s="11">
        <v>630</v>
      </c>
      <c r="B259" s="11" t="s">
        <v>651</v>
      </c>
      <c r="C259" s="12" t="s">
        <v>1127</v>
      </c>
    </row>
    <row r="260" spans="1:3" ht="11.85" customHeight="1" x14ac:dyDescent="0.2">
      <c r="A260" s="11">
        <v>631</v>
      </c>
      <c r="B260" s="11" t="s">
        <v>652</v>
      </c>
      <c r="C260" s="12" t="s">
        <v>1119</v>
      </c>
    </row>
    <row r="261" spans="1:3" ht="11.85" customHeight="1" x14ac:dyDescent="0.2">
      <c r="A261" s="11">
        <v>632</v>
      </c>
      <c r="B261" s="11" t="s">
        <v>653</v>
      </c>
      <c r="C261" s="12" t="s">
        <v>1128</v>
      </c>
    </row>
    <row r="262" spans="1:3" ht="11.85" customHeight="1" x14ac:dyDescent="0.2">
      <c r="A262" s="11">
        <v>633</v>
      </c>
      <c r="B262" s="11" t="s">
        <v>654</v>
      </c>
      <c r="C262" s="12" t="s">
        <v>1120</v>
      </c>
    </row>
    <row r="263" spans="1:3" ht="11.85" customHeight="1" x14ac:dyDescent="0.2">
      <c r="A263" s="11">
        <v>634</v>
      </c>
      <c r="B263" s="11" t="s">
        <v>655</v>
      </c>
      <c r="C263" s="12" t="s">
        <v>1129</v>
      </c>
    </row>
    <row r="264" spans="1:3" ht="11.85" customHeight="1" x14ac:dyDescent="0.2">
      <c r="A264" s="11">
        <v>635</v>
      </c>
      <c r="B264" s="11" t="s">
        <v>656</v>
      </c>
      <c r="C264" s="11" t="s">
        <v>1121</v>
      </c>
    </row>
    <row r="265" spans="1:3" ht="11.85" customHeight="1" x14ac:dyDescent="0.2">
      <c r="A265" s="11">
        <v>636</v>
      </c>
      <c r="B265" s="11" t="s">
        <v>657</v>
      </c>
      <c r="C265" s="12" t="s">
        <v>1130</v>
      </c>
    </row>
    <row r="266" spans="1:3" ht="11.85" customHeight="1" x14ac:dyDescent="0.2">
      <c r="A266" s="11">
        <v>637</v>
      </c>
      <c r="B266" s="13" t="s">
        <v>658</v>
      </c>
      <c r="C266" s="12" t="s">
        <v>1122</v>
      </c>
    </row>
    <row r="267" spans="1:3" ht="11.85" customHeight="1" x14ac:dyDescent="0.2">
      <c r="A267" s="11">
        <v>638</v>
      </c>
      <c r="B267" s="11" t="s">
        <v>659</v>
      </c>
      <c r="C267" s="12" t="s">
        <v>1190</v>
      </c>
    </row>
    <row r="268" spans="1:3" ht="11.85" customHeight="1" x14ac:dyDescent="0.2">
      <c r="A268" s="11">
        <v>153</v>
      </c>
      <c r="B268" s="11" t="s">
        <v>660</v>
      </c>
      <c r="C268" s="12" t="s">
        <v>1509</v>
      </c>
    </row>
    <row r="269" spans="1:3" ht="11.85" customHeight="1" x14ac:dyDescent="0.2">
      <c r="A269" s="11">
        <v>154</v>
      </c>
      <c r="B269" s="11" t="s">
        <v>661</v>
      </c>
      <c r="C269" s="12" t="s">
        <v>1510</v>
      </c>
    </row>
    <row r="270" spans="1:3" ht="11.85" customHeight="1" x14ac:dyDescent="0.2">
      <c r="A270" s="11">
        <v>639</v>
      </c>
      <c r="B270" s="11" t="s">
        <v>662</v>
      </c>
      <c r="C270" s="12" t="s">
        <v>185</v>
      </c>
    </row>
    <row r="271" spans="1:3" ht="11.85" customHeight="1" x14ac:dyDescent="0.2">
      <c r="A271" s="11">
        <v>155</v>
      </c>
      <c r="B271" s="11" t="s">
        <v>663</v>
      </c>
      <c r="C271" s="12" t="s">
        <v>187</v>
      </c>
    </row>
    <row r="272" spans="1:3" ht="11.85" customHeight="1" x14ac:dyDescent="0.2">
      <c r="A272" s="11">
        <v>640</v>
      </c>
      <c r="B272" s="11" t="s">
        <v>664</v>
      </c>
      <c r="C272" s="12" t="s">
        <v>189</v>
      </c>
    </row>
    <row r="273" spans="1:3" ht="11.85" customHeight="1" x14ac:dyDescent="0.2">
      <c r="A273" s="11">
        <v>641</v>
      </c>
      <c r="B273" s="11" t="s">
        <v>665</v>
      </c>
      <c r="C273" s="12" t="s">
        <v>56</v>
      </c>
    </row>
    <row r="274" spans="1:3" ht="11.85" customHeight="1" x14ac:dyDescent="0.2">
      <c r="A274" s="11">
        <v>642</v>
      </c>
      <c r="B274" s="11" t="s">
        <v>666</v>
      </c>
      <c r="C274" s="12" t="s">
        <v>1118</v>
      </c>
    </row>
    <row r="275" spans="1:3" ht="11.85" customHeight="1" x14ac:dyDescent="0.2">
      <c r="A275" s="11">
        <v>643</v>
      </c>
      <c r="B275" s="11" t="s">
        <v>667</v>
      </c>
      <c r="C275" s="12" t="s">
        <v>192</v>
      </c>
    </row>
    <row r="276" spans="1:3" ht="11.85" customHeight="1" x14ac:dyDescent="0.2">
      <c r="A276" s="11">
        <v>644</v>
      </c>
      <c r="B276" s="11" t="s">
        <v>668</v>
      </c>
      <c r="C276" s="12" t="s">
        <v>1119</v>
      </c>
    </row>
    <row r="277" spans="1:3" ht="11.85" customHeight="1" x14ac:dyDescent="0.2">
      <c r="A277" s="11">
        <v>645</v>
      </c>
      <c r="B277" s="11" t="s">
        <v>669</v>
      </c>
      <c r="C277" s="12" t="s">
        <v>1120</v>
      </c>
    </row>
    <row r="278" spans="1:3" ht="11.85" customHeight="1" x14ac:dyDescent="0.2">
      <c r="A278" s="11">
        <v>646</v>
      </c>
      <c r="B278" s="11" t="s">
        <v>670</v>
      </c>
      <c r="C278" s="12" t="s">
        <v>1121</v>
      </c>
    </row>
    <row r="279" spans="1:3" ht="11.85" customHeight="1" x14ac:dyDescent="0.2">
      <c r="A279" s="11">
        <v>647</v>
      </c>
      <c r="B279" s="11" t="s">
        <v>671</v>
      </c>
      <c r="C279" s="12" t="s">
        <v>1122</v>
      </c>
    </row>
    <row r="280" spans="1:3" ht="11.85" customHeight="1" x14ac:dyDescent="0.2">
      <c r="A280" s="11">
        <v>156</v>
      </c>
      <c r="B280" s="11" t="s">
        <v>672</v>
      </c>
      <c r="C280" s="12" t="s">
        <v>1511</v>
      </c>
    </row>
    <row r="281" spans="1:3" ht="11.85" customHeight="1" x14ac:dyDescent="0.2">
      <c r="A281" s="11">
        <v>648</v>
      </c>
      <c r="B281" s="11" t="s">
        <v>673</v>
      </c>
      <c r="C281" s="12" t="s">
        <v>185</v>
      </c>
    </row>
    <row r="282" spans="1:3" ht="11.85" customHeight="1" x14ac:dyDescent="0.2">
      <c r="A282" s="11">
        <v>649</v>
      </c>
      <c r="B282" s="11" t="s">
        <v>674</v>
      </c>
      <c r="C282" s="12" t="s">
        <v>83</v>
      </c>
    </row>
    <row r="283" spans="1:3" ht="11.85" customHeight="1" x14ac:dyDescent="0.2">
      <c r="A283" s="11">
        <v>650</v>
      </c>
      <c r="B283" s="11" t="s">
        <v>675</v>
      </c>
      <c r="C283" s="12" t="s">
        <v>187</v>
      </c>
    </row>
    <row r="284" spans="1:3" ht="11.85" customHeight="1" x14ac:dyDescent="0.2">
      <c r="A284" s="11">
        <v>651</v>
      </c>
      <c r="B284" s="11" t="s">
        <v>676</v>
      </c>
      <c r="C284" s="12" t="s">
        <v>84</v>
      </c>
    </row>
    <row r="285" spans="1:3" ht="11.85" customHeight="1" x14ac:dyDescent="0.2">
      <c r="A285" s="11">
        <v>652</v>
      </c>
      <c r="B285" s="11" t="s">
        <v>677</v>
      </c>
      <c r="C285" s="12" t="s">
        <v>189</v>
      </c>
    </row>
    <row r="286" spans="1:3" ht="11.85" customHeight="1" x14ac:dyDescent="0.2">
      <c r="A286" s="11">
        <v>653</v>
      </c>
      <c r="B286" s="11" t="s">
        <v>678</v>
      </c>
      <c r="C286" s="12" t="s">
        <v>85</v>
      </c>
    </row>
    <row r="287" spans="1:3" ht="11.85" customHeight="1" x14ac:dyDescent="0.2">
      <c r="A287" s="11">
        <v>654</v>
      </c>
      <c r="B287" s="11" t="s">
        <v>679</v>
      </c>
      <c r="C287" s="12" t="s">
        <v>56</v>
      </c>
    </row>
    <row r="288" spans="1:3" ht="11.85" customHeight="1" x14ac:dyDescent="0.2">
      <c r="A288" s="11">
        <v>655</v>
      </c>
      <c r="B288" s="11" t="s">
        <v>680</v>
      </c>
      <c r="C288" s="12" t="s">
        <v>86</v>
      </c>
    </row>
    <row r="289" spans="1:3" ht="11.85" customHeight="1" x14ac:dyDescent="0.2">
      <c r="A289" s="11">
        <v>656</v>
      </c>
      <c r="B289" s="11" t="s">
        <v>681</v>
      </c>
      <c r="C289" s="12" t="s">
        <v>1118</v>
      </c>
    </row>
    <row r="290" spans="1:3" ht="11.85" customHeight="1" x14ac:dyDescent="0.2">
      <c r="A290" s="11">
        <v>657</v>
      </c>
      <c r="B290" s="11" t="s">
        <v>682</v>
      </c>
      <c r="C290" s="12" t="s">
        <v>87</v>
      </c>
    </row>
    <row r="291" spans="1:3" ht="11.85" customHeight="1" x14ac:dyDescent="0.2">
      <c r="A291" s="11">
        <v>658</v>
      </c>
      <c r="B291" s="11" t="s">
        <v>683</v>
      </c>
      <c r="C291" s="12" t="s">
        <v>192</v>
      </c>
    </row>
    <row r="292" spans="1:3" ht="11.85" customHeight="1" x14ac:dyDescent="0.2">
      <c r="A292" s="11">
        <v>659</v>
      </c>
      <c r="B292" s="11" t="s">
        <v>684</v>
      </c>
      <c r="C292" s="12" t="s">
        <v>88</v>
      </c>
    </row>
    <row r="293" spans="1:3" ht="11.85" customHeight="1" x14ac:dyDescent="0.2">
      <c r="A293" s="11">
        <v>660</v>
      </c>
      <c r="B293" s="11" t="s">
        <v>685</v>
      </c>
      <c r="C293" s="12" t="s">
        <v>1119</v>
      </c>
    </row>
    <row r="294" spans="1:3" ht="11.85" customHeight="1" x14ac:dyDescent="0.2">
      <c r="A294" s="11">
        <v>661</v>
      </c>
      <c r="B294" s="11" t="s">
        <v>686</v>
      </c>
      <c r="C294" s="12" t="s">
        <v>89</v>
      </c>
    </row>
    <row r="295" spans="1:3" ht="11.85" customHeight="1" x14ac:dyDescent="0.2">
      <c r="A295" s="11">
        <v>662</v>
      </c>
      <c r="B295" s="11" t="s">
        <v>687</v>
      </c>
      <c r="C295" s="12" t="s">
        <v>1512</v>
      </c>
    </row>
    <row r="296" spans="1:3" ht="11.85" customHeight="1" x14ac:dyDescent="0.2">
      <c r="A296" s="11">
        <v>663</v>
      </c>
      <c r="B296" s="11" t="s">
        <v>688</v>
      </c>
      <c r="C296" s="12" t="s">
        <v>90</v>
      </c>
    </row>
    <row r="297" spans="1:3" ht="11.85" customHeight="1" x14ac:dyDescent="0.2">
      <c r="A297" s="11">
        <v>664</v>
      </c>
      <c r="B297" s="11" t="s">
        <v>689</v>
      </c>
      <c r="C297" s="12" t="s">
        <v>1121</v>
      </c>
    </row>
    <row r="298" spans="1:3" ht="11.85" customHeight="1" x14ac:dyDescent="0.2">
      <c r="A298" s="11">
        <v>665</v>
      </c>
      <c r="B298" s="11" t="s">
        <v>690</v>
      </c>
      <c r="C298" s="12" t="s">
        <v>91</v>
      </c>
    </row>
    <row r="299" spans="1:3" ht="11.85" customHeight="1" x14ac:dyDescent="0.2">
      <c r="A299" s="11">
        <v>666</v>
      </c>
      <c r="B299" s="11" t="s">
        <v>691</v>
      </c>
      <c r="C299" s="12" t="s">
        <v>1122</v>
      </c>
    </row>
    <row r="300" spans="1:3" ht="11.85" customHeight="1" x14ac:dyDescent="0.2">
      <c r="A300" s="11">
        <v>667</v>
      </c>
      <c r="B300" s="11" t="s">
        <v>692</v>
      </c>
      <c r="C300" s="12" t="s">
        <v>92</v>
      </c>
    </row>
    <row r="301" spans="1:3" ht="11.85" customHeight="1" x14ac:dyDescent="0.2">
      <c r="A301" s="11">
        <v>668</v>
      </c>
      <c r="B301" s="11" t="s">
        <v>693</v>
      </c>
      <c r="C301" s="12" t="s">
        <v>1513</v>
      </c>
    </row>
    <row r="302" spans="1:3" ht="11.85" customHeight="1" x14ac:dyDescent="0.2">
      <c r="A302" s="11">
        <v>157</v>
      </c>
      <c r="B302" s="11" t="s">
        <v>694</v>
      </c>
      <c r="C302" s="12" t="s">
        <v>1514</v>
      </c>
    </row>
    <row r="303" spans="1:3" ht="11.85" customHeight="1" x14ac:dyDescent="0.2">
      <c r="A303" s="11">
        <v>158</v>
      </c>
      <c r="B303" s="11" t="s">
        <v>695</v>
      </c>
      <c r="C303" s="12" t="s">
        <v>1515</v>
      </c>
    </row>
    <row r="304" spans="1:3" ht="11.85" customHeight="1" x14ac:dyDescent="0.2">
      <c r="A304" s="11">
        <v>159</v>
      </c>
      <c r="B304" s="11" t="s">
        <v>696</v>
      </c>
      <c r="C304" s="12" t="s">
        <v>1516</v>
      </c>
    </row>
    <row r="305" spans="1:3" ht="11.85" customHeight="1" x14ac:dyDescent="0.2">
      <c r="A305" s="11">
        <v>169</v>
      </c>
      <c r="B305" s="11" t="s">
        <v>290</v>
      </c>
      <c r="C305" s="12" t="s">
        <v>93</v>
      </c>
    </row>
    <row r="306" spans="1:3" ht="11.85" customHeight="1" x14ac:dyDescent="0.2">
      <c r="A306" s="11">
        <v>170</v>
      </c>
      <c r="B306" s="11" t="s">
        <v>291</v>
      </c>
      <c r="C306" s="12" t="s">
        <v>94</v>
      </c>
    </row>
    <row r="307" spans="1:3" ht="11.85" customHeight="1" x14ac:dyDescent="0.2">
      <c r="A307" s="11">
        <v>171</v>
      </c>
      <c r="B307" s="11" t="s">
        <v>292</v>
      </c>
      <c r="C307" s="12" t="s">
        <v>1938</v>
      </c>
    </row>
    <row r="308" spans="1:3" ht="11.85" customHeight="1" x14ac:dyDescent="0.2">
      <c r="A308" s="11">
        <v>179</v>
      </c>
      <c r="B308" s="11" t="s">
        <v>704</v>
      </c>
      <c r="C308" s="12" t="s">
        <v>1939</v>
      </c>
    </row>
    <row r="309" spans="1:3" ht="11.85" customHeight="1" x14ac:dyDescent="0.2">
      <c r="A309" s="11">
        <v>483</v>
      </c>
      <c r="B309" s="11" t="s">
        <v>294</v>
      </c>
      <c r="C309" s="12" t="s">
        <v>295</v>
      </c>
    </row>
    <row r="310" spans="1:3" ht="11.85" customHeight="1" x14ac:dyDescent="0.2">
      <c r="A310" s="11">
        <v>485</v>
      </c>
      <c r="B310" s="11" t="s">
        <v>296</v>
      </c>
      <c r="C310" s="12" t="s">
        <v>297</v>
      </c>
    </row>
    <row r="311" spans="1:3" ht="11.85" customHeight="1" x14ac:dyDescent="0.2">
      <c r="A311" s="11">
        <v>487</v>
      </c>
      <c r="B311" s="11" t="s">
        <v>298</v>
      </c>
      <c r="C311" s="12" t="s">
        <v>299</v>
      </c>
    </row>
    <row r="312" spans="1:3" ht="11.85" customHeight="1" x14ac:dyDescent="0.2">
      <c r="A312" s="11">
        <v>488</v>
      </c>
      <c r="B312" s="11" t="s">
        <v>300</v>
      </c>
      <c r="C312" s="12" t="s">
        <v>301</v>
      </c>
    </row>
    <row r="313" spans="1:3" ht="11.85" customHeight="1" x14ac:dyDescent="0.2">
      <c r="A313" s="11">
        <v>489</v>
      </c>
      <c r="B313" s="11" t="s">
        <v>302</v>
      </c>
      <c r="C313" s="12" t="s">
        <v>303</v>
      </c>
    </row>
    <row r="314" spans="1:3" ht="11.85" customHeight="1" x14ac:dyDescent="0.2">
      <c r="A314" s="11">
        <v>490</v>
      </c>
      <c r="B314" s="11" t="s">
        <v>712</v>
      </c>
      <c r="C314" s="12" t="s">
        <v>95</v>
      </c>
    </row>
    <row r="315" spans="1:3" ht="11.85" customHeight="1" x14ac:dyDescent="0.2">
      <c r="A315" s="11">
        <v>491</v>
      </c>
      <c r="B315" s="11" t="s">
        <v>304</v>
      </c>
      <c r="C315" s="12" t="s">
        <v>305</v>
      </c>
    </row>
    <row r="316" spans="1:3" ht="11.85" customHeight="1" x14ac:dyDescent="0.2">
      <c r="A316" s="11">
        <v>508</v>
      </c>
      <c r="B316" s="11" t="s">
        <v>306</v>
      </c>
      <c r="C316" s="12" t="s">
        <v>96</v>
      </c>
    </row>
    <row r="317" spans="1:3" ht="11.85" customHeight="1" x14ac:dyDescent="0.2">
      <c r="A317" s="11">
        <v>669</v>
      </c>
      <c r="B317" s="11" t="s">
        <v>713</v>
      </c>
      <c r="C317" s="12" t="s">
        <v>97</v>
      </c>
    </row>
    <row r="318" spans="1:3" ht="11.85" customHeight="1" x14ac:dyDescent="0.2">
      <c r="A318" s="11">
        <v>670</v>
      </c>
      <c r="B318" s="11" t="s">
        <v>714</v>
      </c>
      <c r="C318" s="12" t="s">
        <v>1940</v>
      </c>
    </row>
    <row r="319" spans="1:3" ht="11.85" customHeight="1" x14ac:dyDescent="0.2">
      <c r="A319" s="11">
        <v>1257</v>
      </c>
      <c r="B319" s="11" t="s">
        <v>715</v>
      </c>
      <c r="C319" s="12" t="s">
        <v>1941</v>
      </c>
    </row>
    <row r="320" spans="1:3" ht="11.85" customHeight="1" x14ac:dyDescent="0.2">
      <c r="A320" s="11">
        <v>671</v>
      </c>
      <c r="B320" s="11" t="s">
        <v>715</v>
      </c>
      <c r="C320" s="12" t="s">
        <v>98</v>
      </c>
    </row>
    <row r="321" spans="1:3" ht="11.85" customHeight="1" x14ac:dyDescent="0.2">
      <c r="A321" s="11">
        <v>672</v>
      </c>
      <c r="B321" s="11" t="s">
        <v>716</v>
      </c>
      <c r="C321" s="12" t="s">
        <v>99</v>
      </c>
    </row>
    <row r="322" spans="1:3" ht="11.85" customHeight="1" x14ac:dyDescent="0.2">
      <c r="A322" s="11">
        <v>673</v>
      </c>
      <c r="B322" s="11" t="s">
        <v>717</v>
      </c>
      <c r="C322" s="12" t="s">
        <v>1532</v>
      </c>
    </row>
    <row r="323" spans="1:3" ht="11.85" customHeight="1" x14ac:dyDescent="0.2">
      <c r="A323" s="11">
        <v>674</v>
      </c>
      <c r="B323" s="11" t="s">
        <v>718</v>
      </c>
      <c r="C323" s="12" t="s">
        <v>1533</v>
      </c>
    </row>
    <row r="324" spans="1:3" ht="11.85" customHeight="1" x14ac:dyDescent="0.2">
      <c r="A324" s="11">
        <v>675</v>
      </c>
      <c r="B324" s="11" t="s">
        <v>719</v>
      </c>
      <c r="C324" s="12" t="s">
        <v>1534</v>
      </c>
    </row>
    <row r="325" spans="1:3" ht="11.85" customHeight="1" x14ac:dyDescent="0.2">
      <c r="A325" s="11">
        <v>949</v>
      </c>
      <c r="B325" s="11" t="s">
        <v>720</v>
      </c>
      <c r="C325" s="12" t="s">
        <v>100</v>
      </c>
    </row>
    <row r="326" spans="1:3" ht="11.85" customHeight="1" x14ac:dyDescent="0.2">
      <c r="A326" s="11">
        <v>950</v>
      </c>
      <c r="B326" s="11" t="s">
        <v>307</v>
      </c>
      <c r="C326" s="12" t="s">
        <v>101</v>
      </c>
    </row>
    <row r="327" spans="1:3" ht="11.85" customHeight="1" x14ac:dyDescent="0.2">
      <c r="A327" s="11">
        <v>185</v>
      </c>
      <c r="B327" s="11" t="s">
        <v>309</v>
      </c>
      <c r="C327" s="12" t="s">
        <v>102</v>
      </c>
    </row>
    <row r="328" spans="1:3" ht="11.85" customHeight="1" x14ac:dyDescent="0.2">
      <c r="A328" s="11">
        <v>186</v>
      </c>
      <c r="B328" s="11" t="s">
        <v>310</v>
      </c>
      <c r="C328" s="12" t="s">
        <v>103</v>
      </c>
    </row>
    <row r="329" spans="1:3" ht="11.85" customHeight="1" x14ac:dyDescent="0.2">
      <c r="A329" s="11">
        <v>187</v>
      </c>
      <c r="B329" s="11" t="s">
        <v>722</v>
      </c>
      <c r="C329" s="12" t="s">
        <v>1536</v>
      </c>
    </row>
    <row r="330" spans="1:3" ht="11.85" customHeight="1" x14ac:dyDescent="0.2">
      <c r="A330" s="11">
        <v>188</v>
      </c>
      <c r="B330" s="11" t="s">
        <v>311</v>
      </c>
      <c r="C330" s="12" t="s">
        <v>104</v>
      </c>
    </row>
    <row r="331" spans="1:3" ht="11.85" customHeight="1" x14ac:dyDescent="0.2">
      <c r="A331" s="11">
        <v>189</v>
      </c>
      <c r="B331" s="11" t="s">
        <v>723</v>
      </c>
      <c r="C331" s="12" t="s">
        <v>1537</v>
      </c>
    </row>
    <row r="332" spans="1:3" ht="11.85" customHeight="1" x14ac:dyDescent="0.2">
      <c r="A332" s="11">
        <v>676</v>
      </c>
      <c r="B332" s="11" t="s">
        <v>312</v>
      </c>
      <c r="C332" s="12" t="s">
        <v>313</v>
      </c>
    </row>
    <row r="333" spans="1:3" ht="11.85" customHeight="1" x14ac:dyDescent="0.2">
      <c r="A333" s="11">
        <v>677</v>
      </c>
      <c r="B333" s="11" t="s">
        <v>724</v>
      </c>
      <c r="C333" s="12" t="s">
        <v>1538</v>
      </c>
    </row>
    <row r="334" spans="1:3" ht="11.85" customHeight="1" x14ac:dyDescent="0.2">
      <c r="A334" s="11">
        <v>678</v>
      </c>
      <c r="B334" s="11" t="s">
        <v>725</v>
      </c>
      <c r="C334" s="12" t="s">
        <v>1539</v>
      </c>
    </row>
    <row r="335" spans="1:3" ht="11.85" customHeight="1" x14ac:dyDescent="0.2">
      <c r="A335" s="11">
        <v>679</v>
      </c>
      <c r="B335" s="11" t="s">
        <v>726</v>
      </c>
      <c r="C335" s="12" t="s">
        <v>105</v>
      </c>
    </row>
    <row r="336" spans="1:3" ht="11.85" customHeight="1" x14ac:dyDescent="0.2">
      <c r="A336" s="11">
        <v>680</v>
      </c>
      <c r="B336" s="11" t="s">
        <v>727</v>
      </c>
      <c r="C336" s="12" t="s">
        <v>1540</v>
      </c>
    </row>
    <row r="337" spans="1:3" ht="11.85" customHeight="1" x14ac:dyDescent="0.2">
      <c r="A337" s="11">
        <v>681</v>
      </c>
      <c r="B337" s="11" t="s">
        <v>728</v>
      </c>
      <c r="C337" s="12" t="s">
        <v>1541</v>
      </c>
    </row>
    <row r="338" spans="1:3" ht="11.85" customHeight="1" x14ac:dyDescent="0.2">
      <c r="A338" s="11">
        <v>682</v>
      </c>
      <c r="B338" s="11" t="s">
        <v>729</v>
      </c>
      <c r="C338" s="12" t="s">
        <v>1542</v>
      </c>
    </row>
    <row r="339" spans="1:3" ht="11.85" customHeight="1" x14ac:dyDescent="0.2">
      <c r="A339" s="11">
        <v>951</v>
      </c>
      <c r="B339" s="11" t="s">
        <v>730</v>
      </c>
      <c r="C339" s="12" t="s">
        <v>1543</v>
      </c>
    </row>
    <row r="340" spans="1:3" ht="11.85" customHeight="1" x14ac:dyDescent="0.2">
      <c r="A340" s="11">
        <v>190</v>
      </c>
      <c r="B340" s="11" t="s">
        <v>314</v>
      </c>
      <c r="C340" s="12" t="s">
        <v>106</v>
      </c>
    </row>
    <row r="341" spans="1:3" ht="11.85" customHeight="1" x14ac:dyDescent="0.2">
      <c r="A341" s="11">
        <v>191</v>
      </c>
      <c r="B341" s="11" t="s">
        <v>315</v>
      </c>
      <c r="C341" s="12" t="s">
        <v>107</v>
      </c>
    </row>
    <row r="342" spans="1:3" ht="11.85" customHeight="1" x14ac:dyDescent="0.2">
      <c r="A342" s="11">
        <v>192</v>
      </c>
      <c r="B342" s="11" t="s">
        <v>316</v>
      </c>
      <c r="C342" s="12" t="s">
        <v>108</v>
      </c>
    </row>
    <row r="343" spans="1:3" ht="11.85" customHeight="1" x14ac:dyDescent="0.2">
      <c r="A343" s="11">
        <v>494</v>
      </c>
      <c r="B343" s="11" t="s">
        <v>732</v>
      </c>
      <c r="C343" s="12" t="s">
        <v>1545</v>
      </c>
    </row>
    <row r="344" spans="1:3" ht="11.85" customHeight="1" x14ac:dyDescent="0.2">
      <c r="A344" s="11">
        <v>193</v>
      </c>
      <c r="B344" s="11" t="s">
        <v>317</v>
      </c>
      <c r="C344" s="12" t="s">
        <v>318</v>
      </c>
    </row>
    <row r="345" spans="1:3" ht="11.85" customHeight="1" x14ac:dyDescent="0.2">
      <c r="A345" s="11">
        <v>194</v>
      </c>
      <c r="B345" s="11" t="s">
        <v>319</v>
      </c>
      <c r="C345" s="12" t="s">
        <v>1546</v>
      </c>
    </row>
    <row r="346" spans="1:3" ht="11.85" customHeight="1" x14ac:dyDescent="0.2">
      <c r="A346" s="11">
        <v>195</v>
      </c>
      <c r="B346" s="11" t="s">
        <v>320</v>
      </c>
      <c r="C346" s="12" t="s">
        <v>1547</v>
      </c>
    </row>
    <row r="347" spans="1:3" ht="11.85" customHeight="1" x14ac:dyDescent="0.2">
      <c r="A347" s="11">
        <v>196</v>
      </c>
      <c r="B347" s="11" t="s">
        <v>321</v>
      </c>
      <c r="C347" s="12" t="s">
        <v>1548</v>
      </c>
    </row>
    <row r="348" spans="1:3" ht="11.85" customHeight="1" x14ac:dyDescent="0.2">
      <c r="A348" s="11">
        <v>197</v>
      </c>
      <c r="B348" s="11" t="s">
        <v>322</v>
      </c>
      <c r="C348" s="12" t="s">
        <v>1549</v>
      </c>
    </row>
    <row r="349" spans="1:3" ht="11.85" customHeight="1" x14ac:dyDescent="0.2">
      <c r="A349" s="11">
        <v>198</v>
      </c>
      <c r="B349" s="11" t="s">
        <v>323</v>
      </c>
      <c r="C349" s="12" t="s">
        <v>1550</v>
      </c>
    </row>
    <row r="350" spans="1:3" ht="11.85" customHeight="1" x14ac:dyDescent="0.2">
      <c r="A350" s="11">
        <v>199</v>
      </c>
      <c r="B350" s="11" t="s">
        <v>324</v>
      </c>
      <c r="C350" s="12" t="s">
        <v>1551</v>
      </c>
    </row>
    <row r="351" spans="1:3" ht="11.85" customHeight="1" x14ac:dyDescent="0.2">
      <c r="A351" s="11">
        <v>495</v>
      </c>
      <c r="B351" s="11" t="s">
        <v>733</v>
      </c>
      <c r="C351" s="12" t="s">
        <v>1552</v>
      </c>
    </row>
    <row r="352" spans="1:3" ht="11.85" customHeight="1" x14ac:dyDescent="0.2">
      <c r="A352" s="11">
        <v>496</v>
      </c>
      <c r="B352" s="11" t="s">
        <v>734</v>
      </c>
      <c r="C352" s="12" t="s">
        <v>1553</v>
      </c>
    </row>
    <row r="353" spans="1:3" ht="11.85" customHeight="1" x14ac:dyDescent="0.2">
      <c r="A353" s="11">
        <v>200</v>
      </c>
      <c r="B353" s="11" t="s">
        <v>325</v>
      </c>
      <c r="C353" s="12" t="s">
        <v>109</v>
      </c>
    </row>
    <row r="354" spans="1:3" ht="11.85" customHeight="1" x14ac:dyDescent="0.2">
      <c r="A354" s="11">
        <v>201</v>
      </c>
      <c r="B354" s="11" t="s">
        <v>735</v>
      </c>
      <c r="C354" s="12" t="s">
        <v>1554</v>
      </c>
    </row>
    <row r="355" spans="1:3" ht="11.85" customHeight="1" x14ac:dyDescent="0.2">
      <c r="A355" s="11">
        <v>626</v>
      </c>
      <c r="B355" s="11" t="s">
        <v>736</v>
      </c>
      <c r="C355" s="12" t="s">
        <v>1555</v>
      </c>
    </row>
    <row r="356" spans="1:3" ht="11.85" customHeight="1" x14ac:dyDescent="0.2">
      <c r="A356" s="11">
        <v>202</v>
      </c>
      <c r="B356" s="11" t="s">
        <v>326</v>
      </c>
      <c r="C356" s="12" t="s">
        <v>110</v>
      </c>
    </row>
    <row r="357" spans="1:3" ht="11.85" customHeight="1" x14ac:dyDescent="0.2">
      <c r="A357" s="11">
        <v>510</v>
      </c>
      <c r="B357" s="11" t="s">
        <v>327</v>
      </c>
      <c r="C357" s="12" t="s">
        <v>111</v>
      </c>
    </row>
    <row r="358" spans="1:3" ht="11.85" customHeight="1" x14ac:dyDescent="0.2">
      <c r="A358" s="11">
        <v>683</v>
      </c>
      <c r="B358" s="11" t="s">
        <v>328</v>
      </c>
      <c r="C358" s="12" t="s">
        <v>110</v>
      </c>
    </row>
    <row r="359" spans="1:3" ht="11.85" customHeight="1" x14ac:dyDescent="0.2">
      <c r="A359" s="11">
        <v>684</v>
      </c>
      <c r="B359" s="11" t="s">
        <v>737</v>
      </c>
      <c r="C359" s="12" t="s">
        <v>1556</v>
      </c>
    </row>
    <row r="360" spans="1:3" ht="11.85" customHeight="1" x14ac:dyDescent="0.2">
      <c r="A360" s="11">
        <v>685</v>
      </c>
      <c r="B360" s="11" t="s">
        <v>329</v>
      </c>
      <c r="C360" s="12" t="s">
        <v>112</v>
      </c>
    </row>
    <row r="361" spans="1:3" ht="11.85" customHeight="1" x14ac:dyDescent="0.2">
      <c r="A361" s="11">
        <v>686</v>
      </c>
      <c r="B361" s="11" t="s">
        <v>330</v>
      </c>
      <c r="C361" s="12" t="s">
        <v>331</v>
      </c>
    </row>
    <row r="362" spans="1:3" ht="11.85" customHeight="1" x14ac:dyDescent="0.2">
      <c r="A362" s="11">
        <v>687</v>
      </c>
      <c r="B362" s="11" t="s">
        <v>332</v>
      </c>
      <c r="C362" s="12" t="s">
        <v>113</v>
      </c>
    </row>
    <row r="363" spans="1:3" ht="11.85" customHeight="1" x14ac:dyDescent="0.2">
      <c r="A363" s="11">
        <v>688</v>
      </c>
      <c r="B363" s="11" t="s">
        <v>333</v>
      </c>
      <c r="C363" s="12" t="s">
        <v>114</v>
      </c>
    </row>
    <row r="364" spans="1:3" ht="11.85" customHeight="1" x14ac:dyDescent="0.2">
      <c r="A364" s="11">
        <v>689</v>
      </c>
      <c r="B364" s="11" t="s">
        <v>738</v>
      </c>
      <c r="C364" s="12" t="s">
        <v>1557</v>
      </c>
    </row>
    <row r="365" spans="1:3" ht="11.85" customHeight="1" x14ac:dyDescent="0.2">
      <c r="A365" s="11">
        <v>690</v>
      </c>
      <c r="B365" s="11" t="s">
        <v>739</v>
      </c>
      <c r="C365" s="12" t="s">
        <v>1558</v>
      </c>
    </row>
    <row r="366" spans="1:3" ht="11.85" customHeight="1" x14ac:dyDescent="0.2">
      <c r="A366" s="11">
        <v>1256</v>
      </c>
      <c r="B366" s="11" t="s">
        <v>739</v>
      </c>
      <c r="C366" s="12" t="s">
        <v>1942</v>
      </c>
    </row>
    <row r="367" spans="1:3" ht="11.85" customHeight="1" x14ac:dyDescent="0.2">
      <c r="A367" s="11">
        <v>207</v>
      </c>
      <c r="B367" s="11" t="s">
        <v>740</v>
      </c>
      <c r="C367" s="12" t="s">
        <v>1559</v>
      </c>
    </row>
    <row r="368" spans="1:3" ht="11.85" customHeight="1" x14ac:dyDescent="0.2">
      <c r="A368" s="11">
        <v>208</v>
      </c>
      <c r="B368" s="11" t="s">
        <v>741</v>
      </c>
      <c r="C368" s="12" t="s">
        <v>1560</v>
      </c>
    </row>
    <row r="369" spans="1:3" ht="11.85" customHeight="1" x14ac:dyDescent="0.2">
      <c r="A369" s="11">
        <v>209</v>
      </c>
      <c r="B369" s="11" t="s">
        <v>742</v>
      </c>
      <c r="C369" s="12" t="s">
        <v>1561</v>
      </c>
    </row>
    <row r="370" spans="1:3" ht="11.85" customHeight="1" x14ac:dyDescent="0.2">
      <c r="A370" s="11">
        <v>210</v>
      </c>
      <c r="B370" s="11" t="s">
        <v>743</v>
      </c>
      <c r="C370" s="12" t="s">
        <v>1562</v>
      </c>
    </row>
    <row r="371" spans="1:3" ht="11.85" customHeight="1" x14ac:dyDescent="0.2">
      <c r="A371" s="11">
        <v>211</v>
      </c>
      <c r="B371" s="11" t="s">
        <v>744</v>
      </c>
      <c r="C371" s="12" t="s">
        <v>1563</v>
      </c>
    </row>
    <row r="372" spans="1:3" ht="11.85" customHeight="1" x14ac:dyDescent="0.2">
      <c r="A372" s="11">
        <v>212</v>
      </c>
      <c r="B372" s="11" t="s">
        <v>745</v>
      </c>
      <c r="C372" s="12" t="s">
        <v>1564</v>
      </c>
    </row>
    <row r="373" spans="1:3" ht="11.85" customHeight="1" x14ac:dyDescent="0.2">
      <c r="A373" s="11">
        <v>213</v>
      </c>
      <c r="B373" s="11" t="s">
        <v>746</v>
      </c>
      <c r="C373" s="12" t="s">
        <v>1565</v>
      </c>
    </row>
    <row r="374" spans="1:3" ht="11.85" customHeight="1" x14ac:dyDescent="0.2">
      <c r="A374" s="11">
        <v>214</v>
      </c>
      <c r="B374" s="11" t="s">
        <v>747</v>
      </c>
      <c r="C374" s="12" t="s">
        <v>1566</v>
      </c>
    </row>
    <row r="375" spans="1:3" ht="11.85" customHeight="1" x14ac:dyDescent="0.2">
      <c r="A375" s="11">
        <v>215</v>
      </c>
      <c r="B375" s="11" t="s">
        <v>748</v>
      </c>
      <c r="C375" s="12" t="s">
        <v>1567</v>
      </c>
    </row>
    <row r="376" spans="1:3" ht="11.85" customHeight="1" x14ac:dyDescent="0.2">
      <c r="A376" s="11">
        <v>216</v>
      </c>
      <c r="B376" s="11" t="s">
        <v>749</v>
      </c>
      <c r="C376" s="12" t="s">
        <v>1568</v>
      </c>
    </row>
    <row r="377" spans="1:3" ht="11.85" customHeight="1" x14ac:dyDescent="0.2">
      <c r="A377" s="11">
        <v>160</v>
      </c>
      <c r="B377" s="11" t="s">
        <v>750</v>
      </c>
      <c r="C377" s="12" t="s">
        <v>1168</v>
      </c>
    </row>
    <row r="378" spans="1:3" ht="11.85" customHeight="1" x14ac:dyDescent="0.2">
      <c r="A378" s="11">
        <v>161</v>
      </c>
      <c r="B378" s="11" t="s">
        <v>751</v>
      </c>
      <c r="C378" s="12" t="s">
        <v>1569</v>
      </c>
    </row>
    <row r="379" spans="1:3" ht="11.85" customHeight="1" x14ac:dyDescent="0.2">
      <c r="A379" s="11">
        <v>162</v>
      </c>
      <c r="B379" s="11" t="s">
        <v>752</v>
      </c>
      <c r="C379" s="12" t="s">
        <v>1570</v>
      </c>
    </row>
    <row r="380" spans="1:3" ht="11.85" customHeight="1" x14ac:dyDescent="0.2">
      <c r="A380" s="11">
        <v>163</v>
      </c>
      <c r="B380" s="11" t="s">
        <v>753</v>
      </c>
      <c r="C380" s="12" t="s">
        <v>1170</v>
      </c>
    </row>
    <row r="381" spans="1:3" ht="11.85" customHeight="1" x14ac:dyDescent="0.2">
      <c r="A381" s="11">
        <v>691</v>
      </c>
      <c r="B381" s="11" t="s">
        <v>754</v>
      </c>
      <c r="C381" s="12" t="s">
        <v>1571</v>
      </c>
    </row>
    <row r="382" spans="1:3" ht="11.85" customHeight="1" x14ac:dyDescent="0.2">
      <c r="A382" s="11">
        <v>692</v>
      </c>
      <c r="B382" s="11" t="s">
        <v>755</v>
      </c>
      <c r="C382" s="12" t="s">
        <v>1572</v>
      </c>
    </row>
    <row r="383" spans="1:3" ht="11.85" customHeight="1" x14ac:dyDescent="0.2">
      <c r="A383" s="11">
        <v>693</v>
      </c>
      <c r="B383" s="11" t="s">
        <v>756</v>
      </c>
      <c r="C383" s="12" t="s">
        <v>1595</v>
      </c>
    </row>
    <row r="384" spans="1:3" ht="11.85" customHeight="1" x14ac:dyDescent="0.2">
      <c r="A384" s="11">
        <v>694</v>
      </c>
      <c r="B384" s="11" t="s">
        <v>757</v>
      </c>
      <c r="C384" s="12" t="s">
        <v>1574</v>
      </c>
    </row>
    <row r="385" spans="1:3" ht="11.85" customHeight="1" x14ac:dyDescent="0.2">
      <c r="A385" s="11">
        <v>695</v>
      </c>
      <c r="B385" s="11" t="s">
        <v>758</v>
      </c>
      <c r="C385" s="12" t="s">
        <v>1596</v>
      </c>
    </row>
    <row r="386" spans="1:3" ht="11.85" customHeight="1" x14ac:dyDescent="0.2">
      <c r="A386" s="11">
        <v>696</v>
      </c>
      <c r="B386" s="11" t="s">
        <v>759</v>
      </c>
      <c r="C386" s="12" t="s">
        <v>1576</v>
      </c>
    </row>
    <row r="387" spans="1:3" ht="11.85" customHeight="1" x14ac:dyDescent="0.2">
      <c r="A387" s="11">
        <v>697</v>
      </c>
      <c r="B387" s="11" t="s">
        <v>760</v>
      </c>
      <c r="C387" s="12" t="s">
        <v>1597</v>
      </c>
    </row>
    <row r="388" spans="1:3" ht="11.85" customHeight="1" x14ac:dyDescent="0.2">
      <c r="A388" s="11">
        <v>698</v>
      </c>
      <c r="B388" s="11" t="s">
        <v>761</v>
      </c>
      <c r="C388" s="12" t="s">
        <v>1577</v>
      </c>
    </row>
    <row r="389" spans="1:3" ht="11.85" customHeight="1" x14ac:dyDescent="0.2">
      <c r="A389" s="11">
        <v>700</v>
      </c>
      <c r="B389" s="11" t="s">
        <v>762</v>
      </c>
      <c r="C389" s="12" t="s">
        <v>1578</v>
      </c>
    </row>
    <row r="390" spans="1:3" ht="11.85" customHeight="1" x14ac:dyDescent="0.2">
      <c r="A390" s="11">
        <v>701</v>
      </c>
      <c r="B390" s="11" t="s">
        <v>763</v>
      </c>
      <c r="C390" s="12" t="s">
        <v>1599</v>
      </c>
    </row>
    <row r="391" spans="1:3" ht="11.85" customHeight="1" x14ac:dyDescent="0.2">
      <c r="A391" s="11">
        <v>702</v>
      </c>
      <c r="B391" s="11" t="s">
        <v>764</v>
      </c>
      <c r="C391" s="12" t="s">
        <v>1580</v>
      </c>
    </row>
    <row r="392" spans="1:3" ht="11.85" customHeight="1" x14ac:dyDescent="0.2">
      <c r="A392" s="11">
        <v>703</v>
      </c>
      <c r="B392" s="11" t="s">
        <v>765</v>
      </c>
      <c r="C392" s="12" t="s">
        <v>27</v>
      </c>
    </row>
    <row r="393" spans="1:3" ht="11.85" customHeight="1" x14ac:dyDescent="0.2">
      <c r="A393" s="11">
        <v>704</v>
      </c>
      <c r="B393" s="11" t="s">
        <v>766</v>
      </c>
      <c r="C393" s="12" t="s">
        <v>115</v>
      </c>
    </row>
    <row r="394" spans="1:3" ht="11.85" customHeight="1" x14ac:dyDescent="0.2">
      <c r="A394" s="11">
        <v>503</v>
      </c>
      <c r="B394" s="11" t="s">
        <v>334</v>
      </c>
      <c r="C394" s="12" t="s">
        <v>335</v>
      </c>
    </row>
    <row r="395" spans="1:3" ht="11.85" customHeight="1" x14ac:dyDescent="0.2">
      <c r="A395" s="11">
        <v>217</v>
      </c>
      <c r="B395" s="11" t="s">
        <v>336</v>
      </c>
      <c r="C395" s="12" t="s">
        <v>337</v>
      </c>
    </row>
    <row r="396" spans="1:3" ht="11.85" customHeight="1" x14ac:dyDescent="0.2">
      <c r="A396" s="11">
        <v>218</v>
      </c>
      <c r="B396" s="11" t="s">
        <v>338</v>
      </c>
      <c r="C396" s="12" t="s">
        <v>81</v>
      </c>
    </row>
    <row r="397" spans="1:3" ht="11.85" customHeight="1" x14ac:dyDescent="0.2">
      <c r="A397" s="11">
        <v>219</v>
      </c>
      <c r="B397" s="11" t="s">
        <v>339</v>
      </c>
      <c r="C397" s="12" t="s">
        <v>340</v>
      </c>
    </row>
    <row r="398" spans="1:3" ht="11.85" customHeight="1" x14ac:dyDescent="0.2">
      <c r="A398" s="11">
        <v>705</v>
      </c>
      <c r="B398" s="11" t="s">
        <v>767</v>
      </c>
      <c r="C398" s="12" t="s">
        <v>185</v>
      </c>
    </row>
    <row r="399" spans="1:3" ht="11.85" customHeight="1" x14ac:dyDescent="0.2">
      <c r="A399" s="11">
        <v>706</v>
      </c>
      <c r="B399" s="11" t="s">
        <v>768</v>
      </c>
      <c r="C399" s="12" t="s">
        <v>83</v>
      </c>
    </row>
    <row r="400" spans="1:3" ht="11.85" customHeight="1" x14ac:dyDescent="0.2">
      <c r="A400" s="11">
        <v>707</v>
      </c>
      <c r="B400" s="11" t="s">
        <v>769</v>
      </c>
      <c r="C400" s="12" t="s">
        <v>187</v>
      </c>
    </row>
    <row r="401" spans="1:3" ht="11.85" customHeight="1" x14ac:dyDescent="0.2">
      <c r="A401" s="11">
        <v>708</v>
      </c>
      <c r="B401" s="11" t="s">
        <v>770</v>
      </c>
      <c r="C401" s="12" t="s">
        <v>84</v>
      </c>
    </row>
    <row r="402" spans="1:3" ht="11.85" customHeight="1" x14ac:dyDescent="0.2">
      <c r="A402" s="11">
        <v>709</v>
      </c>
      <c r="B402" s="11" t="s">
        <v>771</v>
      </c>
      <c r="C402" s="12" t="s">
        <v>189</v>
      </c>
    </row>
    <row r="403" spans="1:3" ht="11.85" customHeight="1" x14ac:dyDescent="0.2">
      <c r="A403" s="11">
        <v>710</v>
      </c>
      <c r="B403" s="11" t="s">
        <v>772</v>
      </c>
      <c r="C403" s="12" t="s">
        <v>85</v>
      </c>
    </row>
    <row r="404" spans="1:3" ht="11.85" customHeight="1" x14ac:dyDescent="0.2">
      <c r="A404" s="11">
        <v>711</v>
      </c>
      <c r="B404" s="11" t="s">
        <v>773</v>
      </c>
      <c r="C404" s="12" t="s">
        <v>56</v>
      </c>
    </row>
    <row r="405" spans="1:3" ht="11.85" customHeight="1" x14ac:dyDescent="0.2">
      <c r="A405" s="11">
        <v>712</v>
      </c>
      <c r="B405" s="11" t="s">
        <v>774</v>
      </c>
      <c r="C405" s="12" t="s">
        <v>86</v>
      </c>
    </row>
    <row r="406" spans="1:3" ht="11.85" customHeight="1" x14ac:dyDescent="0.2">
      <c r="A406" s="11">
        <v>713</v>
      </c>
      <c r="B406" s="11" t="s">
        <v>775</v>
      </c>
      <c r="C406" s="12" t="s">
        <v>1583</v>
      </c>
    </row>
    <row r="407" spans="1:3" ht="11.85" customHeight="1" x14ac:dyDescent="0.2">
      <c r="A407" s="11">
        <v>714</v>
      </c>
      <c r="B407" s="11" t="s">
        <v>776</v>
      </c>
      <c r="C407" s="12" t="s">
        <v>87</v>
      </c>
    </row>
    <row r="408" spans="1:3" ht="11.85" customHeight="1" x14ac:dyDescent="0.2">
      <c r="A408" s="11">
        <v>715</v>
      </c>
      <c r="B408" s="11" t="s">
        <v>777</v>
      </c>
      <c r="C408" s="12" t="s">
        <v>192</v>
      </c>
    </row>
    <row r="409" spans="1:3" ht="11.85" customHeight="1" x14ac:dyDescent="0.2">
      <c r="A409" s="11">
        <v>716</v>
      </c>
      <c r="B409" s="11" t="s">
        <v>778</v>
      </c>
      <c r="C409" s="12" t="s">
        <v>88</v>
      </c>
    </row>
    <row r="410" spans="1:3" ht="11.85" customHeight="1" x14ac:dyDescent="0.2">
      <c r="A410" s="11">
        <v>717</v>
      </c>
      <c r="B410" s="11" t="s">
        <v>779</v>
      </c>
      <c r="C410" s="12" t="s">
        <v>1119</v>
      </c>
    </row>
    <row r="411" spans="1:3" ht="11.85" customHeight="1" x14ac:dyDescent="0.2">
      <c r="A411" s="11">
        <v>718</v>
      </c>
      <c r="B411" s="11" t="s">
        <v>780</v>
      </c>
      <c r="C411" s="12" t="s">
        <v>89</v>
      </c>
    </row>
    <row r="412" spans="1:3" ht="11.85" customHeight="1" x14ac:dyDescent="0.2">
      <c r="A412" s="11">
        <v>719</v>
      </c>
      <c r="B412" s="11" t="s">
        <v>781</v>
      </c>
      <c r="C412" s="12" t="s">
        <v>1120</v>
      </c>
    </row>
    <row r="413" spans="1:3" ht="11.85" customHeight="1" x14ac:dyDescent="0.2">
      <c r="A413" s="11">
        <v>720</v>
      </c>
      <c r="B413" s="11" t="s">
        <v>782</v>
      </c>
      <c r="C413" s="12" t="s">
        <v>90</v>
      </c>
    </row>
    <row r="414" spans="1:3" ht="11.85" customHeight="1" x14ac:dyDescent="0.2">
      <c r="A414" s="11">
        <v>721</v>
      </c>
      <c r="B414" s="11" t="s">
        <v>783</v>
      </c>
      <c r="C414" s="12" t="s">
        <v>1121</v>
      </c>
    </row>
    <row r="415" spans="1:3" ht="11.85" customHeight="1" x14ac:dyDescent="0.2">
      <c r="A415" s="11">
        <v>722</v>
      </c>
      <c r="B415" s="11" t="s">
        <v>784</v>
      </c>
      <c r="C415" s="12" t="s">
        <v>91</v>
      </c>
    </row>
    <row r="416" spans="1:3" ht="11.85" customHeight="1" x14ac:dyDescent="0.2">
      <c r="A416" s="11">
        <v>723</v>
      </c>
      <c r="B416" s="13" t="s">
        <v>785</v>
      </c>
      <c r="C416" s="12" t="s">
        <v>1122</v>
      </c>
    </row>
    <row r="417" spans="1:3" ht="11.85" customHeight="1" x14ac:dyDescent="0.2">
      <c r="A417" s="11">
        <v>724</v>
      </c>
      <c r="B417" s="11" t="s">
        <v>786</v>
      </c>
      <c r="C417" s="12" t="s">
        <v>92</v>
      </c>
    </row>
    <row r="418" spans="1:3" ht="11.85" customHeight="1" x14ac:dyDescent="0.2">
      <c r="A418" s="11">
        <v>220</v>
      </c>
      <c r="B418" s="11" t="s">
        <v>787</v>
      </c>
      <c r="C418" s="12" t="s">
        <v>1585</v>
      </c>
    </row>
    <row r="419" spans="1:3" ht="11.85" customHeight="1" x14ac:dyDescent="0.2">
      <c r="A419" s="11">
        <v>221</v>
      </c>
      <c r="B419" s="11" t="s">
        <v>788</v>
      </c>
      <c r="C419" s="12" t="s">
        <v>1586</v>
      </c>
    </row>
    <row r="420" spans="1:3" ht="11.85" customHeight="1" x14ac:dyDescent="0.2">
      <c r="A420" s="11">
        <v>222</v>
      </c>
      <c r="B420" s="11" t="s">
        <v>789</v>
      </c>
      <c r="C420" s="12" t="s">
        <v>1587</v>
      </c>
    </row>
    <row r="421" spans="1:3" ht="11.85" customHeight="1" x14ac:dyDescent="0.2">
      <c r="A421" s="11">
        <v>223</v>
      </c>
      <c r="B421" s="11" t="s">
        <v>790</v>
      </c>
      <c r="C421" s="12" t="s">
        <v>1588</v>
      </c>
    </row>
    <row r="422" spans="1:3" ht="11.85" customHeight="1" x14ac:dyDescent="0.2">
      <c r="A422" s="11">
        <v>225</v>
      </c>
      <c r="B422" s="11" t="s">
        <v>791</v>
      </c>
      <c r="C422" s="12" t="s">
        <v>1516</v>
      </c>
    </row>
    <row r="423" spans="1:3" ht="11.85" customHeight="1" x14ac:dyDescent="0.2">
      <c r="A423" s="11">
        <v>226</v>
      </c>
      <c r="B423" s="11" t="s">
        <v>792</v>
      </c>
      <c r="C423" s="12" t="s">
        <v>1589</v>
      </c>
    </row>
    <row r="424" spans="1:3" ht="11.85" customHeight="1" x14ac:dyDescent="0.2">
      <c r="A424" s="11">
        <v>725</v>
      </c>
      <c r="B424" s="11" t="s">
        <v>1915</v>
      </c>
      <c r="C424" s="12" t="s">
        <v>1943</v>
      </c>
    </row>
    <row r="425" spans="1:3" ht="11.85" customHeight="1" x14ac:dyDescent="0.2">
      <c r="A425" s="11">
        <v>224</v>
      </c>
      <c r="B425" s="11" t="s">
        <v>793</v>
      </c>
      <c r="C425" s="12" t="s">
        <v>1511</v>
      </c>
    </row>
    <row r="426" spans="1:3" ht="11.85" customHeight="1" x14ac:dyDescent="0.2">
      <c r="A426" s="11">
        <v>726</v>
      </c>
      <c r="B426" s="11" t="s">
        <v>794</v>
      </c>
      <c r="C426" s="12" t="s">
        <v>185</v>
      </c>
    </row>
    <row r="427" spans="1:3" ht="11.85" customHeight="1" x14ac:dyDescent="0.2">
      <c r="A427" s="11">
        <v>727</v>
      </c>
      <c r="B427" s="11" t="s">
        <v>795</v>
      </c>
      <c r="C427" s="12" t="s">
        <v>83</v>
      </c>
    </row>
    <row r="428" spans="1:3" ht="11.85" customHeight="1" x14ac:dyDescent="0.2">
      <c r="A428" s="11">
        <v>728</v>
      </c>
      <c r="B428" s="11" t="s">
        <v>796</v>
      </c>
      <c r="C428" s="12" t="s">
        <v>187</v>
      </c>
    </row>
    <row r="429" spans="1:3" ht="11.85" customHeight="1" x14ac:dyDescent="0.2">
      <c r="A429" s="11">
        <v>729</v>
      </c>
      <c r="B429" s="11" t="s">
        <v>797</v>
      </c>
      <c r="C429" s="12" t="s">
        <v>84</v>
      </c>
    </row>
    <row r="430" spans="1:3" ht="11.85" customHeight="1" x14ac:dyDescent="0.2">
      <c r="A430" s="11">
        <v>730</v>
      </c>
      <c r="B430" s="11" t="s">
        <v>798</v>
      </c>
      <c r="C430" s="12" t="s">
        <v>189</v>
      </c>
    </row>
    <row r="431" spans="1:3" ht="11.85" customHeight="1" x14ac:dyDescent="0.2">
      <c r="A431" s="11">
        <v>731</v>
      </c>
      <c r="B431" s="11" t="s">
        <v>799</v>
      </c>
      <c r="C431" s="12" t="s">
        <v>85</v>
      </c>
    </row>
    <row r="432" spans="1:3" ht="11.85" customHeight="1" x14ac:dyDescent="0.2">
      <c r="A432" s="11">
        <v>732</v>
      </c>
      <c r="B432" s="11" t="s">
        <v>800</v>
      </c>
      <c r="C432" s="12" t="s">
        <v>56</v>
      </c>
    </row>
    <row r="433" spans="1:3" ht="11.85" customHeight="1" x14ac:dyDescent="0.2">
      <c r="A433" s="11">
        <v>733</v>
      </c>
      <c r="B433" s="11" t="s">
        <v>801</v>
      </c>
      <c r="C433" s="12" t="s">
        <v>86</v>
      </c>
    </row>
    <row r="434" spans="1:3" ht="11.85" customHeight="1" x14ac:dyDescent="0.2">
      <c r="A434" s="11">
        <v>734</v>
      </c>
      <c r="B434" s="11" t="s">
        <v>802</v>
      </c>
      <c r="C434" s="12" t="s">
        <v>1118</v>
      </c>
    </row>
    <row r="435" spans="1:3" ht="11.85" customHeight="1" x14ac:dyDescent="0.2">
      <c r="A435" s="11">
        <v>735</v>
      </c>
      <c r="B435" s="11" t="s">
        <v>803</v>
      </c>
      <c r="C435" s="12" t="s">
        <v>87</v>
      </c>
    </row>
    <row r="436" spans="1:3" ht="11.85" customHeight="1" x14ac:dyDescent="0.2">
      <c r="A436" s="11">
        <v>736</v>
      </c>
      <c r="B436" s="11" t="s">
        <v>804</v>
      </c>
      <c r="C436" s="12" t="s">
        <v>192</v>
      </c>
    </row>
    <row r="437" spans="1:3" ht="11.85" customHeight="1" x14ac:dyDescent="0.2">
      <c r="A437" s="11">
        <v>737</v>
      </c>
      <c r="B437" s="11" t="s">
        <v>805</v>
      </c>
      <c r="C437" s="12" t="s">
        <v>88</v>
      </c>
    </row>
    <row r="438" spans="1:3" ht="11.85" customHeight="1" x14ac:dyDescent="0.2">
      <c r="A438" s="11">
        <v>738</v>
      </c>
      <c r="B438" s="11" t="s">
        <v>806</v>
      </c>
      <c r="C438" s="12" t="s">
        <v>1119</v>
      </c>
    </row>
    <row r="439" spans="1:3" ht="11.85" customHeight="1" x14ac:dyDescent="0.2">
      <c r="A439" s="11">
        <v>739</v>
      </c>
      <c r="B439" s="11" t="s">
        <v>807</v>
      </c>
      <c r="C439" s="12" t="s">
        <v>89</v>
      </c>
    </row>
    <row r="440" spans="1:3" ht="11.85" customHeight="1" x14ac:dyDescent="0.2">
      <c r="A440" s="11">
        <v>740</v>
      </c>
      <c r="B440" s="11" t="s">
        <v>808</v>
      </c>
      <c r="C440" s="12" t="s">
        <v>1120</v>
      </c>
    </row>
    <row r="441" spans="1:3" ht="11.85" customHeight="1" x14ac:dyDescent="0.2">
      <c r="A441" s="11">
        <v>741</v>
      </c>
      <c r="B441" s="11" t="s">
        <v>809</v>
      </c>
      <c r="C441" s="12" t="s">
        <v>90</v>
      </c>
    </row>
    <row r="442" spans="1:3" ht="11.85" customHeight="1" x14ac:dyDescent="0.2">
      <c r="A442" s="11">
        <v>742</v>
      </c>
      <c r="B442" s="11" t="s">
        <v>810</v>
      </c>
      <c r="C442" s="12" t="s">
        <v>1121</v>
      </c>
    </row>
    <row r="443" spans="1:3" ht="11.85" customHeight="1" x14ac:dyDescent="0.2">
      <c r="A443" s="11">
        <v>743</v>
      </c>
      <c r="B443" s="11" t="s">
        <v>811</v>
      </c>
      <c r="C443" s="12" t="s">
        <v>91</v>
      </c>
    </row>
    <row r="444" spans="1:3" ht="11.85" customHeight="1" x14ac:dyDescent="0.2">
      <c r="A444" s="11">
        <v>744</v>
      </c>
      <c r="B444" s="11" t="s">
        <v>812</v>
      </c>
      <c r="C444" s="12" t="s">
        <v>1122</v>
      </c>
    </row>
    <row r="445" spans="1:3" ht="11.85" customHeight="1" x14ac:dyDescent="0.2">
      <c r="A445" s="11">
        <v>745</v>
      </c>
      <c r="B445" s="11" t="s">
        <v>813</v>
      </c>
      <c r="C445" s="12" t="s">
        <v>92</v>
      </c>
    </row>
    <row r="446" spans="1:3" ht="11.85" customHeight="1" x14ac:dyDescent="0.2">
      <c r="A446" s="11">
        <v>746</v>
      </c>
      <c r="B446" s="11" t="s">
        <v>814</v>
      </c>
      <c r="C446" s="12" t="s">
        <v>1590</v>
      </c>
    </row>
    <row r="447" spans="1:3" ht="11.85" customHeight="1" x14ac:dyDescent="0.2">
      <c r="A447" s="11">
        <v>747</v>
      </c>
      <c r="B447" s="11" t="s">
        <v>815</v>
      </c>
      <c r="C447" s="12" t="s">
        <v>185</v>
      </c>
    </row>
    <row r="448" spans="1:3" ht="11.85" customHeight="1" x14ac:dyDescent="0.2">
      <c r="A448" s="11">
        <v>748</v>
      </c>
      <c r="B448" s="11" t="s">
        <v>816</v>
      </c>
      <c r="C448" s="12" t="s">
        <v>83</v>
      </c>
    </row>
    <row r="449" spans="1:3" ht="11.85" customHeight="1" x14ac:dyDescent="0.2">
      <c r="A449" s="11">
        <v>749</v>
      </c>
      <c r="B449" s="11" t="s">
        <v>817</v>
      </c>
      <c r="C449" s="12" t="s">
        <v>187</v>
      </c>
    </row>
    <row r="450" spans="1:3" ht="11.85" customHeight="1" x14ac:dyDescent="0.2">
      <c r="A450" s="11">
        <v>750</v>
      </c>
      <c r="B450" s="11" t="s">
        <v>818</v>
      </c>
      <c r="C450" s="12" t="s">
        <v>84</v>
      </c>
    </row>
    <row r="451" spans="1:3" ht="11.85" customHeight="1" x14ac:dyDescent="0.2">
      <c r="A451" s="11">
        <v>751</v>
      </c>
      <c r="B451" s="11" t="s">
        <v>819</v>
      </c>
      <c r="C451" s="12" t="s">
        <v>189</v>
      </c>
    </row>
    <row r="452" spans="1:3" ht="11.85" customHeight="1" x14ac:dyDescent="0.2">
      <c r="A452" s="11">
        <v>752</v>
      </c>
      <c r="B452" s="11" t="s">
        <v>820</v>
      </c>
      <c r="C452" s="12" t="s">
        <v>116</v>
      </c>
    </row>
    <row r="453" spans="1:3" ht="11.85" customHeight="1" x14ac:dyDescent="0.2">
      <c r="A453" s="11">
        <v>766</v>
      </c>
      <c r="B453" s="11" t="s">
        <v>821</v>
      </c>
      <c r="C453" s="12" t="s">
        <v>92</v>
      </c>
    </row>
    <row r="454" spans="1:3" ht="11.85" customHeight="1" x14ac:dyDescent="0.2">
      <c r="A454" s="11">
        <v>227</v>
      </c>
      <c r="B454" s="11" t="s">
        <v>822</v>
      </c>
      <c r="C454" s="12" t="s">
        <v>6</v>
      </c>
    </row>
    <row r="455" spans="1:3" ht="11.85" customHeight="1" x14ac:dyDescent="0.2">
      <c r="A455" s="11">
        <v>228</v>
      </c>
      <c r="B455" s="11" t="s">
        <v>823</v>
      </c>
      <c r="C455" s="12" t="s">
        <v>6</v>
      </c>
    </row>
    <row r="456" spans="1:3" ht="11.85" customHeight="1" x14ac:dyDescent="0.2">
      <c r="A456" s="11">
        <v>229</v>
      </c>
      <c r="B456" s="11" t="s">
        <v>824</v>
      </c>
      <c r="C456" s="12" t="s">
        <v>1591</v>
      </c>
    </row>
    <row r="457" spans="1:3" ht="11.85" customHeight="1" x14ac:dyDescent="0.2">
      <c r="A457" s="11">
        <v>230</v>
      </c>
      <c r="B457" s="11" t="s">
        <v>1916</v>
      </c>
      <c r="C457" s="12" t="s">
        <v>1592</v>
      </c>
    </row>
    <row r="458" spans="1:3" ht="11.85" customHeight="1" x14ac:dyDescent="0.2">
      <c r="A458" s="11">
        <v>231</v>
      </c>
      <c r="B458" s="11" t="s">
        <v>825</v>
      </c>
      <c r="C458" s="12" t="s">
        <v>1508</v>
      </c>
    </row>
    <row r="459" spans="1:3" ht="11.85" customHeight="1" x14ac:dyDescent="0.2">
      <c r="A459" s="11">
        <v>232</v>
      </c>
      <c r="B459" s="11" t="s">
        <v>826</v>
      </c>
      <c r="C459" s="12" t="s">
        <v>93</v>
      </c>
    </row>
    <row r="460" spans="1:3" ht="11.85" customHeight="1" x14ac:dyDescent="0.2">
      <c r="A460" s="11">
        <v>233</v>
      </c>
      <c r="B460" s="11" t="s">
        <v>827</v>
      </c>
      <c r="C460" s="12" t="s">
        <v>94</v>
      </c>
    </row>
    <row r="461" spans="1:3" ht="11.85" customHeight="1" x14ac:dyDescent="0.2">
      <c r="A461" s="11">
        <v>234</v>
      </c>
      <c r="B461" s="11" t="s">
        <v>828</v>
      </c>
      <c r="C461" s="12" t="s">
        <v>1593</v>
      </c>
    </row>
    <row r="462" spans="1:3" ht="11.85" customHeight="1" x14ac:dyDescent="0.2">
      <c r="A462" s="11">
        <v>235</v>
      </c>
      <c r="B462" s="11" t="s">
        <v>829</v>
      </c>
      <c r="C462" s="12" t="s">
        <v>1594</v>
      </c>
    </row>
    <row r="463" spans="1:3" ht="11.85" customHeight="1" x14ac:dyDescent="0.2">
      <c r="A463" s="11">
        <v>753</v>
      </c>
      <c r="B463" s="11" t="s">
        <v>830</v>
      </c>
      <c r="C463" s="12" t="s">
        <v>1571</v>
      </c>
    </row>
    <row r="464" spans="1:3" ht="11.85" customHeight="1" x14ac:dyDescent="0.2">
      <c r="A464" s="11">
        <v>754</v>
      </c>
      <c r="B464" s="11" t="s">
        <v>1917</v>
      </c>
      <c r="C464" s="12" t="s">
        <v>1595</v>
      </c>
    </row>
    <row r="465" spans="1:3" ht="11.85" customHeight="1" x14ac:dyDescent="0.2">
      <c r="A465" s="11">
        <v>755</v>
      </c>
      <c r="B465" s="11" t="s">
        <v>831</v>
      </c>
      <c r="C465" s="12" t="s">
        <v>117</v>
      </c>
    </row>
    <row r="466" spans="1:3" ht="11.85" customHeight="1" x14ac:dyDescent="0.2">
      <c r="A466" s="11">
        <v>756</v>
      </c>
      <c r="B466" s="11" t="s">
        <v>1918</v>
      </c>
      <c r="C466" s="12" t="s">
        <v>1596</v>
      </c>
    </row>
    <row r="467" spans="1:3" ht="11.85" customHeight="1" x14ac:dyDescent="0.2">
      <c r="A467" s="11">
        <v>757</v>
      </c>
      <c r="B467" s="11" t="s">
        <v>832</v>
      </c>
      <c r="C467" s="12" t="s">
        <v>118</v>
      </c>
    </row>
    <row r="468" spans="1:3" ht="11.85" customHeight="1" x14ac:dyDescent="0.2">
      <c r="A468" s="11">
        <v>758</v>
      </c>
      <c r="B468" s="11" t="s">
        <v>1919</v>
      </c>
      <c r="C468" s="12" t="s">
        <v>1597</v>
      </c>
    </row>
    <row r="469" spans="1:3" ht="11.85" customHeight="1" x14ac:dyDescent="0.2">
      <c r="A469" s="11">
        <v>759</v>
      </c>
      <c r="B469" s="11" t="s">
        <v>833</v>
      </c>
      <c r="C469" s="12" t="s">
        <v>119</v>
      </c>
    </row>
    <row r="470" spans="1:3" ht="11.85" customHeight="1" x14ac:dyDescent="0.2">
      <c r="A470" s="11">
        <v>760</v>
      </c>
      <c r="B470" s="11" t="s">
        <v>1920</v>
      </c>
      <c r="C470" s="12" t="s">
        <v>1598</v>
      </c>
    </row>
    <row r="471" spans="1:3" ht="11.85" customHeight="1" x14ac:dyDescent="0.2">
      <c r="A471" s="11">
        <v>761</v>
      </c>
      <c r="B471" s="11" t="s">
        <v>834</v>
      </c>
      <c r="C471" s="12" t="s">
        <v>120</v>
      </c>
    </row>
    <row r="472" spans="1:3" ht="11.85" customHeight="1" x14ac:dyDescent="0.2">
      <c r="A472" s="11">
        <v>762</v>
      </c>
      <c r="B472" s="11" t="s">
        <v>1921</v>
      </c>
      <c r="C472" s="12" t="s">
        <v>1599</v>
      </c>
    </row>
    <row r="473" spans="1:3" ht="11.85" customHeight="1" x14ac:dyDescent="0.2">
      <c r="A473" s="11">
        <v>763</v>
      </c>
      <c r="B473" s="11" t="s">
        <v>835</v>
      </c>
      <c r="C473" s="12" t="s">
        <v>121</v>
      </c>
    </row>
    <row r="474" spans="1:3" ht="11.85" customHeight="1" x14ac:dyDescent="0.2">
      <c r="A474" s="11">
        <v>764</v>
      </c>
      <c r="B474" s="11" t="s">
        <v>836</v>
      </c>
      <c r="C474" s="12" t="s">
        <v>1944</v>
      </c>
    </row>
    <row r="475" spans="1:3" ht="11.85" customHeight="1" x14ac:dyDescent="0.2">
      <c r="A475" s="11">
        <v>765</v>
      </c>
      <c r="B475" s="11" t="s">
        <v>837</v>
      </c>
      <c r="C475" s="12" t="s">
        <v>122</v>
      </c>
    </row>
    <row r="476" spans="1:3" ht="11.85" customHeight="1" x14ac:dyDescent="0.2">
      <c r="A476" s="11">
        <v>236</v>
      </c>
      <c r="B476" s="11" t="s">
        <v>838</v>
      </c>
      <c r="C476" s="12" t="s">
        <v>109</v>
      </c>
    </row>
    <row r="477" spans="1:3" ht="11.85" customHeight="1" x14ac:dyDescent="0.2">
      <c r="A477" s="11">
        <v>237</v>
      </c>
      <c r="B477" s="11" t="s">
        <v>839</v>
      </c>
      <c r="C477" s="12" t="s">
        <v>110</v>
      </c>
    </row>
    <row r="478" spans="1:3" ht="11.85" customHeight="1" x14ac:dyDescent="0.2">
      <c r="A478" s="11">
        <v>242</v>
      </c>
      <c r="B478" s="11" t="s">
        <v>342</v>
      </c>
      <c r="C478" s="12" t="s">
        <v>123</v>
      </c>
    </row>
    <row r="479" spans="1:3" ht="11.85" customHeight="1" x14ac:dyDescent="0.2">
      <c r="A479" s="11">
        <v>243</v>
      </c>
      <c r="B479" s="11" t="s">
        <v>343</v>
      </c>
      <c r="C479" s="12" t="s">
        <v>124</v>
      </c>
    </row>
    <row r="480" spans="1:3" ht="11.85" customHeight="1" x14ac:dyDescent="0.2">
      <c r="A480" s="11">
        <v>244</v>
      </c>
      <c r="B480" s="11" t="s">
        <v>840</v>
      </c>
      <c r="C480" s="12" t="s">
        <v>125</v>
      </c>
    </row>
    <row r="481" spans="1:3" ht="11.85" customHeight="1" x14ac:dyDescent="0.2">
      <c r="A481" s="11">
        <v>245</v>
      </c>
      <c r="B481" s="11" t="s">
        <v>841</v>
      </c>
      <c r="C481" s="12" t="s">
        <v>124</v>
      </c>
    </row>
    <row r="482" spans="1:3" ht="11.85" customHeight="1" x14ac:dyDescent="0.2">
      <c r="A482" s="11">
        <v>246</v>
      </c>
      <c r="B482" s="11" t="s">
        <v>344</v>
      </c>
      <c r="C482" s="12" t="s">
        <v>345</v>
      </c>
    </row>
    <row r="483" spans="1:3" ht="11.85" customHeight="1" x14ac:dyDescent="0.2">
      <c r="A483" s="11">
        <v>247</v>
      </c>
      <c r="B483" s="11" t="s">
        <v>346</v>
      </c>
      <c r="C483" s="12" t="s">
        <v>347</v>
      </c>
    </row>
    <row r="484" spans="1:3" ht="11.85" customHeight="1" x14ac:dyDescent="0.2">
      <c r="A484" s="11">
        <v>249</v>
      </c>
      <c r="B484" s="11" t="s">
        <v>842</v>
      </c>
      <c r="C484" s="12" t="s">
        <v>1600</v>
      </c>
    </row>
    <row r="485" spans="1:3" ht="11.85" customHeight="1" x14ac:dyDescent="0.2">
      <c r="A485" s="11">
        <v>251</v>
      </c>
      <c r="B485" s="11" t="s">
        <v>843</v>
      </c>
      <c r="C485" s="12" t="s">
        <v>1601</v>
      </c>
    </row>
    <row r="486" spans="1:3" ht="11.85" customHeight="1" x14ac:dyDescent="0.2">
      <c r="A486" s="11">
        <v>252</v>
      </c>
      <c r="B486" s="11" t="s">
        <v>844</v>
      </c>
      <c r="C486" s="12" t="s">
        <v>1602</v>
      </c>
    </row>
    <row r="487" spans="1:3" ht="11.85" customHeight="1" x14ac:dyDescent="0.2">
      <c r="A487" s="11">
        <v>253</v>
      </c>
      <c r="B487" s="11" t="s">
        <v>845</v>
      </c>
      <c r="C487" s="12" t="s">
        <v>1603</v>
      </c>
    </row>
    <row r="488" spans="1:3" ht="11.85" customHeight="1" x14ac:dyDescent="0.2">
      <c r="A488" s="11">
        <v>250</v>
      </c>
      <c r="B488" s="11" t="s">
        <v>846</v>
      </c>
      <c r="C488" s="12" t="s">
        <v>1604</v>
      </c>
    </row>
    <row r="489" spans="1:3" ht="11.85" customHeight="1" x14ac:dyDescent="0.2">
      <c r="A489" s="11">
        <v>254</v>
      </c>
      <c r="B489" s="11" t="s">
        <v>847</v>
      </c>
      <c r="C489" s="12" t="s">
        <v>1605</v>
      </c>
    </row>
    <row r="490" spans="1:3" ht="11.85" customHeight="1" x14ac:dyDescent="0.2">
      <c r="A490" s="11">
        <v>256</v>
      </c>
      <c r="B490" s="11" t="s">
        <v>848</v>
      </c>
      <c r="C490" s="12" t="s">
        <v>1606</v>
      </c>
    </row>
    <row r="491" spans="1:3" ht="11.85" customHeight="1" x14ac:dyDescent="0.2">
      <c r="A491" s="11">
        <v>255</v>
      </c>
      <c r="B491" s="11" t="s">
        <v>849</v>
      </c>
      <c r="C491" s="12" t="s">
        <v>1607</v>
      </c>
    </row>
    <row r="492" spans="1:3" ht="11.85" customHeight="1" x14ac:dyDescent="0.2">
      <c r="A492" s="11">
        <v>257</v>
      </c>
      <c r="B492" s="11" t="s">
        <v>348</v>
      </c>
      <c r="C492" s="12" t="s">
        <v>126</v>
      </c>
    </row>
    <row r="493" spans="1:3" ht="11.85" customHeight="1" x14ac:dyDescent="0.2">
      <c r="A493" s="11">
        <v>259</v>
      </c>
      <c r="B493" s="11" t="s">
        <v>850</v>
      </c>
      <c r="C493" s="12" t="s">
        <v>1608</v>
      </c>
    </row>
    <row r="494" spans="1:3" ht="11.85" customHeight="1" x14ac:dyDescent="0.2">
      <c r="A494" s="11">
        <v>260</v>
      </c>
      <c r="B494" s="11" t="s">
        <v>851</v>
      </c>
      <c r="C494" s="12" t="s">
        <v>1609</v>
      </c>
    </row>
    <row r="495" spans="1:3" ht="11.85" customHeight="1" x14ac:dyDescent="0.2">
      <c r="A495" s="11">
        <v>261</v>
      </c>
      <c r="B495" s="11" t="s">
        <v>349</v>
      </c>
      <c r="C495" s="12" t="s">
        <v>127</v>
      </c>
    </row>
    <row r="496" spans="1:3" ht="11.85" customHeight="1" x14ac:dyDescent="0.2">
      <c r="A496" s="11">
        <v>262</v>
      </c>
      <c r="B496" s="11" t="s">
        <v>350</v>
      </c>
      <c r="C496" s="12" t="s">
        <v>1610</v>
      </c>
    </row>
    <row r="497" spans="1:3" ht="11.85" customHeight="1" x14ac:dyDescent="0.2">
      <c r="A497" s="11">
        <v>263</v>
      </c>
      <c r="B497" s="11" t="s">
        <v>852</v>
      </c>
      <c r="C497" s="12" t="s">
        <v>1603</v>
      </c>
    </row>
    <row r="498" spans="1:3" ht="11.85" customHeight="1" x14ac:dyDescent="0.2">
      <c r="A498" s="11">
        <v>258</v>
      </c>
      <c r="B498" s="11" t="s">
        <v>351</v>
      </c>
      <c r="C498" s="12" t="s">
        <v>352</v>
      </c>
    </row>
    <row r="499" spans="1:3" ht="11.85" customHeight="1" x14ac:dyDescent="0.2">
      <c r="A499" s="11">
        <v>264</v>
      </c>
      <c r="B499" s="11" t="s">
        <v>353</v>
      </c>
      <c r="C499" s="12" t="s">
        <v>128</v>
      </c>
    </row>
    <row r="500" spans="1:3" ht="11.85" customHeight="1" x14ac:dyDescent="0.2">
      <c r="A500" s="11">
        <v>265</v>
      </c>
      <c r="B500" s="11" t="s">
        <v>354</v>
      </c>
      <c r="C500" s="12" t="s">
        <v>128</v>
      </c>
    </row>
    <row r="501" spans="1:3" ht="11.85" customHeight="1" x14ac:dyDescent="0.2">
      <c r="A501" s="11">
        <v>266</v>
      </c>
      <c r="B501" s="11" t="s">
        <v>853</v>
      </c>
      <c r="C501" s="12" t="s">
        <v>1611</v>
      </c>
    </row>
    <row r="502" spans="1:3" ht="11.85" customHeight="1" x14ac:dyDescent="0.2">
      <c r="A502" s="11">
        <v>267</v>
      </c>
      <c r="B502" s="11" t="s">
        <v>854</v>
      </c>
      <c r="C502" s="12" t="s">
        <v>1612</v>
      </c>
    </row>
    <row r="503" spans="1:3" ht="11.85" customHeight="1" x14ac:dyDescent="0.2">
      <c r="A503" s="11">
        <v>268</v>
      </c>
      <c r="B503" s="11" t="s">
        <v>355</v>
      </c>
      <c r="C503" s="12" t="s">
        <v>129</v>
      </c>
    </row>
    <row r="504" spans="1:3" ht="11.85" customHeight="1" x14ac:dyDescent="0.2">
      <c r="A504" s="11">
        <v>767</v>
      </c>
      <c r="B504" s="11" t="s">
        <v>855</v>
      </c>
      <c r="C504" s="12" t="s">
        <v>1613</v>
      </c>
    </row>
    <row r="505" spans="1:3" ht="11.85" customHeight="1" x14ac:dyDescent="0.2">
      <c r="A505" s="11">
        <v>768</v>
      </c>
      <c r="B505" s="11" t="s">
        <v>856</v>
      </c>
      <c r="C505" s="12" t="s">
        <v>1614</v>
      </c>
    </row>
    <row r="506" spans="1:3" ht="11.85" customHeight="1" x14ac:dyDescent="0.2">
      <c r="A506" s="11">
        <v>769</v>
      </c>
      <c r="B506" s="11" t="s">
        <v>857</v>
      </c>
      <c r="C506" s="12" t="s">
        <v>1615</v>
      </c>
    </row>
    <row r="507" spans="1:3" ht="11.85" customHeight="1" x14ac:dyDescent="0.2">
      <c r="A507" s="11">
        <v>770</v>
      </c>
      <c r="B507" s="11" t="s">
        <v>356</v>
      </c>
      <c r="C507" s="12" t="s">
        <v>357</v>
      </c>
    </row>
    <row r="508" spans="1:3" ht="11.85" customHeight="1" x14ac:dyDescent="0.2">
      <c r="A508" s="11">
        <v>771</v>
      </c>
      <c r="B508" s="11" t="s">
        <v>358</v>
      </c>
      <c r="C508" s="12" t="s">
        <v>357</v>
      </c>
    </row>
    <row r="509" spans="1:3" ht="11.85" customHeight="1" x14ac:dyDescent="0.2">
      <c r="A509" s="11">
        <v>772</v>
      </c>
      <c r="B509" s="11" t="s">
        <v>359</v>
      </c>
      <c r="C509" s="12" t="s">
        <v>360</v>
      </c>
    </row>
    <row r="510" spans="1:3" ht="11.85" customHeight="1" x14ac:dyDescent="0.2">
      <c r="A510" s="11">
        <v>402</v>
      </c>
      <c r="B510" s="11" t="s">
        <v>361</v>
      </c>
      <c r="C510" s="12" t="s">
        <v>130</v>
      </c>
    </row>
    <row r="511" spans="1:3" ht="11.85" customHeight="1" x14ac:dyDescent="0.2">
      <c r="A511" s="11">
        <v>403</v>
      </c>
      <c r="B511" s="11" t="s">
        <v>362</v>
      </c>
      <c r="C511" s="12" t="s">
        <v>131</v>
      </c>
    </row>
    <row r="512" spans="1:3" ht="11.85" customHeight="1" x14ac:dyDescent="0.2">
      <c r="A512" s="11">
        <v>404</v>
      </c>
      <c r="B512" s="11" t="s">
        <v>858</v>
      </c>
      <c r="C512" s="12" t="s">
        <v>132</v>
      </c>
    </row>
    <row r="513" spans="1:3" ht="11.85" customHeight="1" x14ac:dyDescent="0.2">
      <c r="A513" s="11">
        <v>405</v>
      </c>
      <c r="B513" s="11" t="s">
        <v>859</v>
      </c>
      <c r="C513" s="12" t="s">
        <v>133</v>
      </c>
    </row>
    <row r="514" spans="1:3" ht="11.85" customHeight="1" x14ac:dyDescent="0.2">
      <c r="A514" s="11">
        <v>406</v>
      </c>
      <c r="B514" s="11" t="s">
        <v>860</v>
      </c>
      <c r="C514" s="12" t="s">
        <v>1616</v>
      </c>
    </row>
    <row r="515" spans="1:3" ht="11.85" customHeight="1" x14ac:dyDescent="0.2">
      <c r="A515" s="11">
        <v>407</v>
      </c>
      <c r="B515" s="11" t="s">
        <v>861</v>
      </c>
      <c r="C515" s="12" t="s">
        <v>1617</v>
      </c>
    </row>
    <row r="516" spans="1:3" ht="11.85" customHeight="1" x14ac:dyDescent="0.2">
      <c r="A516" s="11">
        <v>408</v>
      </c>
      <c r="B516" s="11" t="s">
        <v>862</v>
      </c>
      <c r="C516" s="12" t="s">
        <v>134</v>
      </c>
    </row>
    <row r="517" spans="1:3" ht="11.85" customHeight="1" x14ac:dyDescent="0.2">
      <c r="A517" s="11">
        <v>409</v>
      </c>
      <c r="B517" s="11" t="s">
        <v>863</v>
      </c>
      <c r="C517" s="12" t="s">
        <v>1618</v>
      </c>
    </row>
    <row r="518" spans="1:3" ht="11.85" customHeight="1" x14ac:dyDescent="0.2">
      <c r="A518" s="11">
        <v>410</v>
      </c>
      <c r="B518" s="11" t="s">
        <v>865</v>
      </c>
      <c r="C518" s="12" t="s">
        <v>1620</v>
      </c>
    </row>
    <row r="519" spans="1:3" ht="11.85" customHeight="1" x14ac:dyDescent="0.2">
      <c r="A519" s="11">
        <v>411</v>
      </c>
      <c r="B519" s="11" t="s">
        <v>866</v>
      </c>
      <c r="C519" s="12" t="s">
        <v>1621</v>
      </c>
    </row>
    <row r="520" spans="1:3" ht="11.85" customHeight="1" x14ac:dyDescent="0.2">
      <c r="A520" s="11">
        <v>1000</v>
      </c>
      <c r="B520" s="11" t="s">
        <v>867</v>
      </c>
      <c r="C520" s="12" t="s">
        <v>1622</v>
      </c>
    </row>
    <row r="521" spans="1:3" ht="11.85" customHeight="1" x14ac:dyDescent="0.2">
      <c r="A521" s="11">
        <v>412</v>
      </c>
      <c r="B521" s="11" t="s">
        <v>867</v>
      </c>
      <c r="C521" s="12" t="s">
        <v>1623</v>
      </c>
    </row>
    <row r="522" spans="1:3" ht="11.85" customHeight="1" x14ac:dyDescent="0.2">
      <c r="A522" s="11">
        <v>773</v>
      </c>
      <c r="B522" s="11" t="s">
        <v>868</v>
      </c>
      <c r="C522" s="12" t="s">
        <v>1624</v>
      </c>
    </row>
    <row r="523" spans="1:3" ht="11.85" customHeight="1" x14ac:dyDescent="0.2">
      <c r="A523" s="11">
        <v>774</v>
      </c>
      <c r="B523" s="11" t="s">
        <v>869</v>
      </c>
      <c r="C523" s="12" t="s">
        <v>1625</v>
      </c>
    </row>
    <row r="524" spans="1:3" ht="11.85" customHeight="1" x14ac:dyDescent="0.2">
      <c r="A524" s="11">
        <v>775</v>
      </c>
      <c r="B524" s="11" t="s">
        <v>870</v>
      </c>
      <c r="C524" s="12" t="s">
        <v>1626</v>
      </c>
    </row>
    <row r="525" spans="1:3" ht="11.85" customHeight="1" x14ac:dyDescent="0.2">
      <c r="A525" s="11">
        <v>1324</v>
      </c>
      <c r="B525" s="11" t="s">
        <v>1922</v>
      </c>
      <c r="C525" s="12" t="s">
        <v>1945</v>
      </c>
    </row>
    <row r="526" spans="1:3" ht="11.85" customHeight="1" x14ac:dyDescent="0.2">
      <c r="A526" s="11">
        <v>1325</v>
      </c>
      <c r="B526" s="11" t="s">
        <v>1923</v>
      </c>
      <c r="C526" s="12" t="s">
        <v>1946</v>
      </c>
    </row>
    <row r="527" spans="1:3" ht="11.85" customHeight="1" x14ac:dyDescent="0.2">
      <c r="A527" s="11">
        <v>413</v>
      </c>
      <c r="B527" s="11" t="s">
        <v>363</v>
      </c>
      <c r="C527" s="12" t="s">
        <v>135</v>
      </c>
    </row>
    <row r="528" spans="1:3" ht="11.85" customHeight="1" x14ac:dyDescent="0.2">
      <c r="A528" s="11">
        <v>414</v>
      </c>
      <c r="B528" s="11" t="s">
        <v>364</v>
      </c>
      <c r="C528" s="12" t="s">
        <v>136</v>
      </c>
    </row>
    <row r="529" spans="1:3" ht="11.85" customHeight="1" x14ac:dyDescent="0.2">
      <c r="A529" s="11">
        <v>415</v>
      </c>
      <c r="B529" s="11" t="s">
        <v>871</v>
      </c>
      <c r="C529" s="12" t="s">
        <v>1627</v>
      </c>
    </row>
    <row r="530" spans="1:3" ht="11.85" customHeight="1" x14ac:dyDescent="0.2">
      <c r="A530" s="11">
        <v>416</v>
      </c>
      <c r="B530" s="11" t="s">
        <v>872</v>
      </c>
      <c r="C530" s="12" t="s">
        <v>1628</v>
      </c>
    </row>
    <row r="531" spans="1:3" ht="11.85" customHeight="1" x14ac:dyDescent="0.2">
      <c r="A531" s="11">
        <v>417</v>
      </c>
      <c r="B531" s="11" t="s">
        <v>873</v>
      </c>
      <c r="C531" s="12" t="s">
        <v>137</v>
      </c>
    </row>
    <row r="532" spans="1:3" ht="11.85" customHeight="1" x14ac:dyDescent="0.2">
      <c r="A532" s="11">
        <v>418</v>
      </c>
      <c r="B532" s="11" t="s">
        <v>874</v>
      </c>
      <c r="C532" s="12" t="s">
        <v>1629</v>
      </c>
    </row>
    <row r="533" spans="1:3" ht="11.85" customHeight="1" x14ac:dyDescent="0.2">
      <c r="A533" s="11">
        <v>776</v>
      </c>
      <c r="B533" s="11" t="s">
        <v>875</v>
      </c>
      <c r="C533" s="12" t="s">
        <v>1630</v>
      </c>
    </row>
    <row r="534" spans="1:3" ht="11.85" customHeight="1" x14ac:dyDescent="0.2">
      <c r="A534" s="11">
        <v>777</v>
      </c>
      <c r="B534" s="11" t="s">
        <v>876</v>
      </c>
      <c r="C534" s="12" t="s">
        <v>1631</v>
      </c>
    </row>
    <row r="535" spans="1:3" ht="11.85" customHeight="1" x14ac:dyDescent="0.2">
      <c r="A535" s="11">
        <v>778</v>
      </c>
      <c r="B535" s="11" t="s">
        <v>877</v>
      </c>
      <c r="C535" s="12" t="s">
        <v>1632</v>
      </c>
    </row>
    <row r="536" spans="1:3" ht="11.85" customHeight="1" x14ac:dyDescent="0.2">
      <c r="A536" s="11">
        <v>779</v>
      </c>
      <c r="B536" s="11" t="s">
        <v>878</v>
      </c>
      <c r="C536" s="12" t="s">
        <v>1633</v>
      </c>
    </row>
    <row r="537" spans="1:3" ht="11.85" customHeight="1" x14ac:dyDescent="0.2">
      <c r="A537" s="11">
        <v>780</v>
      </c>
      <c r="B537" s="11" t="s">
        <v>365</v>
      </c>
      <c r="C537" s="12" t="s">
        <v>366</v>
      </c>
    </row>
    <row r="538" spans="1:3" ht="11.85" customHeight="1" x14ac:dyDescent="0.2">
      <c r="A538" s="11">
        <v>781</v>
      </c>
      <c r="B538" s="11" t="s">
        <v>879</v>
      </c>
      <c r="C538" s="12" t="s">
        <v>1634</v>
      </c>
    </row>
    <row r="539" spans="1:3" ht="11.85" customHeight="1" x14ac:dyDescent="0.2">
      <c r="A539" s="11">
        <v>419</v>
      </c>
      <c r="B539" s="11" t="s">
        <v>880</v>
      </c>
      <c r="C539" s="12" t="s">
        <v>1635</v>
      </c>
    </row>
    <row r="540" spans="1:3" ht="11.85" customHeight="1" x14ac:dyDescent="0.2">
      <c r="A540" s="11">
        <v>420</v>
      </c>
      <c r="B540" s="11" t="s">
        <v>881</v>
      </c>
      <c r="C540" s="12" t="s">
        <v>1636</v>
      </c>
    </row>
    <row r="541" spans="1:3" ht="11.85" customHeight="1" x14ac:dyDescent="0.2">
      <c r="A541" s="11">
        <v>421</v>
      </c>
      <c r="B541" s="11" t="s">
        <v>882</v>
      </c>
      <c r="C541" s="12" t="s">
        <v>1637</v>
      </c>
    </row>
    <row r="542" spans="1:3" ht="11.85" customHeight="1" x14ac:dyDescent="0.2">
      <c r="A542" s="11">
        <v>422</v>
      </c>
      <c r="B542" s="11" t="s">
        <v>883</v>
      </c>
      <c r="C542" s="12" t="s">
        <v>1638</v>
      </c>
    </row>
    <row r="543" spans="1:3" ht="11.85" customHeight="1" x14ac:dyDescent="0.2">
      <c r="A543" s="11">
        <v>423</v>
      </c>
      <c r="B543" s="11" t="s">
        <v>884</v>
      </c>
      <c r="C543" s="12" t="s">
        <v>1639</v>
      </c>
    </row>
    <row r="544" spans="1:3" ht="11.85" customHeight="1" x14ac:dyDescent="0.2">
      <c r="A544" s="11">
        <v>424</v>
      </c>
      <c r="B544" s="11" t="s">
        <v>367</v>
      </c>
      <c r="C544" s="12" t="s">
        <v>138</v>
      </c>
    </row>
    <row r="545" spans="1:3" ht="11.85" customHeight="1" x14ac:dyDescent="0.2">
      <c r="A545" s="11">
        <v>425</v>
      </c>
      <c r="B545" s="11" t="s">
        <v>885</v>
      </c>
      <c r="C545" s="12" t="s">
        <v>1640</v>
      </c>
    </row>
    <row r="546" spans="1:3" ht="11.85" customHeight="1" x14ac:dyDescent="0.2">
      <c r="A546" s="11">
        <v>426</v>
      </c>
      <c r="B546" s="11" t="s">
        <v>886</v>
      </c>
      <c r="C546" s="12" t="s">
        <v>1641</v>
      </c>
    </row>
    <row r="547" spans="1:3" ht="11.85" customHeight="1" x14ac:dyDescent="0.2">
      <c r="A547" s="11">
        <v>427</v>
      </c>
      <c r="B547" s="11" t="s">
        <v>887</v>
      </c>
      <c r="C547" s="12" t="s">
        <v>139</v>
      </c>
    </row>
    <row r="548" spans="1:3" ht="11.85" customHeight="1" x14ac:dyDescent="0.2">
      <c r="A548" s="11">
        <v>428</v>
      </c>
      <c r="B548" s="11" t="s">
        <v>368</v>
      </c>
      <c r="C548" s="12" t="s">
        <v>369</v>
      </c>
    </row>
    <row r="549" spans="1:3" ht="11.85" customHeight="1" x14ac:dyDescent="0.2">
      <c r="A549" s="11">
        <v>429</v>
      </c>
      <c r="B549" s="11" t="s">
        <v>888</v>
      </c>
      <c r="C549" s="12" t="s">
        <v>1642</v>
      </c>
    </row>
    <row r="550" spans="1:3" ht="11.85" customHeight="1" x14ac:dyDescent="0.2">
      <c r="A550" s="11">
        <v>477</v>
      </c>
      <c r="B550" s="11" t="s">
        <v>889</v>
      </c>
      <c r="C550" s="12" t="s">
        <v>1643</v>
      </c>
    </row>
    <row r="551" spans="1:3" ht="11.85" customHeight="1" x14ac:dyDescent="0.2">
      <c r="A551" s="11">
        <v>478</v>
      </c>
      <c r="B551" s="11" t="s">
        <v>890</v>
      </c>
      <c r="C551" s="12" t="s">
        <v>1644</v>
      </c>
    </row>
    <row r="552" spans="1:3" ht="11.85" customHeight="1" x14ac:dyDescent="0.2">
      <c r="A552" s="11">
        <v>480</v>
      </c>
      <c r="B552" s="11" t="s">
        <v>891</v>
      </c>
      <c r="C552" s="12" t="s">
        <v>140</v>
      </c>
    </row>
    <row r="553" spans="1:3" ht="11.85" customHeight="1" x14ac:dyDescent="0.2">
      <c r="A553" s="11">
        <v>482</v>
      </c>
      <c r="B553" s="11" t="s">
        <v>892</v>
      </c>
      <c r="C553" s="12" t="s">
        <v>1645</v>
      </c>
    </row>
    <row r="554" spans="1:3" ht="11.85" customHeight="1" x14ac:dyDescent="0.2">
      <c r="A554" s="11">
        <v>484</v>
      </c>
      <c r="B554" s="11" t="s">
        <v>893</v>
      </c>
      <c r="C554" s="12" t="s">
        <v>1646</v>
      </c>
    </row>
    <row r="555" spans="1:3" ht="11.85" customHeight="1" x14ac:dyDescent="0.2">
      <c r="A555" s="11">
        <v>486</v>
      </c>
      <c r="B555" s="11" t="s">
        <v>894</v>
      </c>
      <c r="C555" s="12" t="s">
        <v>1647</v>
      </c>
    </row>
    <row r="556" spans="1:3" ht="11.85" customHeight="1" x14ac:dyDescent="0.2">
      <c r="A556" s="11">
        <v>509</v>
      </c>
      <c r="B556" s="11" t="s">
        <v>895</v>
      </c>
      <c r="C556" s="12" t="s">
        <v>1648</v>
      </c>
    </row>
    <row r="557" spans="1:3" ht="11.85" customHeight="1" x14ac:dyDescent="0.2">
      <c r="A557" s="11">
        <v>782</v>
      </c>
      <c r="B557" s="11" t="s">
        <v>896</v>
      </c>
      <c r="C557" s="12" t="s">
        <v>1649</v>
      </c>
    </row>
    <row r="558" spans="1:3" ht="11.85" customHeight="1" x14ac:dyDescent="0.2">
      <c r="A558" s="11">
        <v>430</v>
      </c>
      <c r="B558" s="11" t="s">
        <v>370</v>
      </c>
      <c r="C558" s="12" t="s">
        <v>371</v>
      </c>
    </row>
    <row r="559" spans="1:3" ht="11.85" customHeight="1" x14ac:dyDescent="0.2">
      <c r="A559" s="11">
        <v>431</v>
      </c>
      <c r="B559" s="11" t="s">
        <v>372</v>
      </c>
      <c r="C559" s="12" t="s">
        <v>373</v>
      </c>
    </row>
    <row r="560" spans="1:3" ht="11.85" customHeight="1" x14ac:dyDescent="0.2">
      <c r="A560" s="11">
        <v>432</v>
      </c>
      <c r="B560" s="11" t="s">
        <v>897</v>
      </c>
      <c r="C560" s="12" t="s">
        <v>1650</v>
      </c>
    </row>
    <row r="561" spans="1:3" ht="11.85" customHeight="1" x14ac:dyDescent="0.2">
      <c r="A561" s="11">
        <v>433</v>
      </c>
      <c r="B561" s="11" t="s">
        <v>898</v>
      </c>
      <c r="C561" s="12" t="s">
        <v>1651</v>
      </c>
    </row>
    <row r="562" spans="1:3" ht="11.85" customHeight="1" x14ac:dyDescent="0.2">
      <c r="A562" s="11">
        <v>434</v>
      </c>
      <c r="B562" s="11" t="s">
        <v>375</v>
      </c>
      <c r="C562" s="12" t="s">
        <v>376</v>
      </c>
    </row>
    <row r="563" spans="1:3" ht="11.85" customHeight="1" x14ac:dyDescent="0.2">
      <c r="A563" s="11">
        <v>435</v>
      </c>
      <c r="B563" s="11" t="s">
        <v>899</v>
      </c>
      <c r="C563" s="12" t="s">
        <v>1160</v>
      </c>
    </row>
    <row r="564" spans="1:3" ht="11.85" customHeight="1" x14ac:dyDescent="0.2">
      <c r="A564" s="11">
        <v>475</v>
      </c>
      <c r="B564" s="11" t="s">
        <v>900</v>
      </c>
      <c r="C564" s="12" t="s">
        <v>1652</v>
      </c>
    </row>
    <row r="565" spans="1:3" ht="11.85" customHeight="1" x14ac:dyDescent="0.2">
      <c r="A565" s="11">
        <v>436</v>
      </c>
      <c r="B565" s="11" t="s">
        <v>901</v>
      </c>
      <c r="C565" s="12" t="s">
        <v>1653</v>
      </c>
    </row>
    <row r="566" spans="1:3" ht="11.85" customHeight="1" x14ac:dyDescent="0.2">
      <c r="A566" s="11">
        <v>437</v>
      </c>
      <c r="B566" s="11" t="s">
        <v>902</v>
      </c>
      <c r="C566" s="12" t="s">
        <v>1654</v>
      </c>
    </row>
    <row r="567" spans="1:3" ht="11.85" customHeight="1" x14ac:dyDescent="0.2">
      <c r="A567" s="11">
        <v>438</v>
      </c>
      <c r="B567" s="11" t="s">
        <v>903</v>
      </c>
      <c r="C567" s="12" t="s">
        <v>1655</v>
      </c>
    </row>
    <row r="568" spans="1:3" ht="11.85" customHeight="1" x14ac:dyDescent="0.2">
      <c r="A568" s="11">
        <v>439</v>
      </c>
      <c r="B568" s="11" t="s">
        <v>904</v>
      </c>
      <c r="C568" s="12" t="s">
        <v>1656</v>
      </c>
    </row>
    <row r="569" spans="1:3" ht="11.85" customHeight="1" x14ac:dyDescent="0.2">
      <c r="A569" s="11">
        <v>440</v>
      </c>
      <c r="B569" s="11" t="s">
        <v>905</v>
      </c>
      <c r="C569" s="12" t="s">
        <v>1657</v>
      </c>
    </row>
    <row r="570" spans="1:3" ht="11.85" customHeight="1" x14ac:dyDescent="0.2">
      <c r="A570" s="11">
        <v>441</v>
      </c>
      <c r="B570" s="11" t="s">
        <v>906</v>
      </c>
      <c r="C570" s="12" t="s">
        <v>1658</v>
      </c>
    </row>
    <row r="571" spans="1:3" ht="11.85" customHeight="1" x14ac:dyDescent="0.2">
      <c r="A571" s="11">
        <v>442</v>
      </c>
      <c r="B571" s="11" t="s">
        <v>378</v>
      </c>
      <c r="C571" s="12" t="s">
        <v>141</v>
      </c>
    </row>
    <row r="572" spans="1:3" ht="11.85" customHeight="1" x14ac:dyDescent="0.2">
      <c r="A572" s="11">
        <v>443</v>
      </c>
      <c r="B572" s="11" t="s">
        <v>379</v>
      </c>
      <c r="C572" s="12" t="s">
        <v>142</v>
      </c>
    </row>
    <row r="573" spans="1:3" ht="11.85" customHeight="1" x14ac:dyDescent="0.2">
      <c r="A573" s="11">
        <v>444</v>
      </c>
      <c r="B573" s="11" t="s">
        <v>907</v>
      </c>
      <c r="C573" s="12" t="s">
        <v>1659</v>
      </c>
    </row>
    <row r="574" spans="1:3" ht="11.85" customHeight="1" x14ac:dyDescent="0.2">
      <c r="A574" s="11">
        <v>445</v>
      </c>
      <c r="B574" s="11" t="s">
        <v>908</v>
      </c>
      <c r="C574" s="12" t="s">
        <v>1660</v>
      </c>
    </row>
    <row r="575" spans="1:3" ht="11.85" customHeight="1" x14ac:dyDescent="0.2">
      <c r="A575" s="11">
        <v>446</v>
      </c>
      <c r="B575" s="11" t="s">
        <v>909</v>
      </c>
      <c r="C575" s="12" t="s">
        <v>1661</v>
      </c>
    </row>
    <row r="576" spans="1:3" ht="11.85" customHeight="1" x14ac:dyDescent="0.2">
      <c r="A576" s="11">
        <v>447</v>
      </c>
      <c r="B576" s="11" t="s">
        <v>910</v>
      </c>
      <c r="C576" s="12" t="s">
        <v>1662</v>
      </c>
    </row>
    <row r="577" spans="1:3" ht="11.85" customHeight="1" x14ac:dyDescent="0.2">
      <c r="A577" s="11">
        <v>448</v>
      </c>
      <c r="B577" s="11" t="s">
        <v>911</v>
      </c>
      <c r="C577" s="12" t="s">
        <v>1663</v>
      </c>
    </row>
    <row r="578" spans="1:3" ht="11.85" customHeight="1" x14ac:dyDescent="0.2">
      <c r="A578" s="11">
        <v>1001</v>
      </c>
      <c r="B578" s="11" t="s">
        <v>380</v>
      </c>
      <c r="C578" s="12" t="s">
        <v>381</v>
      </c>
    </row>
    <row r="579" spans="1:3" ht="11.85" customHeight="1" x14ac:dyDescent="0.2">
      <c r="A579" s="11">
        <v>999</v>
      </c>
      <c r="B579" s="11" t="s">
        <v>380</v>
      </c>
      <c r="C579" s="12" t="s">
        <v>143</v>
      </c>
    </row>
    <row r="580" spans="1:3" ht="11.85" customHeight="1" x14ac:dyDescent="0.2">
      <c r="A580" s="11">
        <v>449</v>
      </c>
      <c r="B580" s="11" t="s">
        <v>912</v>
      </c>
      <c r="C580" s="12" t="s">
        <v>1664</v>
      </c>
    </row>
    <row r="581" spans="1:3" ht="11.85" customHeight="1" x14ac:dyDescent="0.2">
      <c r="A581" s="11">
        <v>450</v>
      </c>
      <c r="B581" s="11" t="s">
        <v>913</v>
      </c>
      <c r="C581" s="12" t="s">
        <v>1665</v>
      </c>
    </row>
    <row r="582" spans="1:3" ht="11.85" customHeight="1" x14ac:dyDescent="0.2">
      <c r="A582" s="11">
        <v>451</v>
      </c>
      <c r="B582" s="11" t="s">
        <v>914</v>
      </c>
      <c r="C582" s="12" t="s">
        <v>1666</v>
      </c>
    </row>
    <row r="583" spans="1:3" ht="11.85" customHeight="1" x14ac:dyDescent="0.2">
      <c r="A583" s="11">
        <v>452</v>
      </c>
      <c r="B583" s="11" t="s">
        <v>915</v>
      </c>
      <c r="C583" s="12" t="s">
        <v>1667</v>
      </c>
    </row>
    <row r="584" spans="1:3" ht="11.85" customHeight="1" x14ac:dyDescent="0.2">
      <c r="A584" s="11">
        <v>453</v>
      </c>
      <c r="B584" s="11" t="s">
        <v>916</v>
      </c>
      <c r="C584" s="12" t="s">
        <v>1668</v>
      </c>
    </row>
    <row r="585" spans="1:3" ht="11.85" customHeight="1" x14ac:dyDescent="0.2">
      <c r="A585" s="11">
        <v>454</v>
      </c>
      <c r="B585" s="11" t="s">
        <v>917</v>
      </c>
      <c r="C585" s="12" t="s">
        <v>1669</v>
      </c>
    </row>
    <row r="586" spans="1:3" ht="11.85" customHeight="1" x14ac:dyDescent="0.2">
      <c r="A586" s="11">
        <v>458</v>
      </c>
      <c r="B586" s="11" t="s">
        <v>918</v>
      </c>
      <c r="C586" s="12" t="s">
        <v>1670</v>
      </c>
    </row>
    <row r="587" spans="1:3" ht="11.85" customHeight="1" x14ac:dyDescent="0.2">
      <c r="A587" s="11">
        <v>459</v>
      </c>
      <c r="B587" s="11" t="s">
        <v>919</v>
      </c>
      <c r="C587" s="12" t="s">
        <v>1671</v>
      </c>
    </row>
    <row r="588" spans="1:3" ht="11.85" customHeight="1" x14ac:dyDescent="0.2">
      <c r="A588" s="11">
        <v>269</v>
      </c>
      <c r="B588" s="11" t="s">
        <v>384</v>
      </c>
      <c r="C588" s="12" t="s">
        <v>144</v>
      </c>
    </row>
    <row r="589" spans="1:3" ht="11.85" customHeight="1" x14ac:dyDescent="0.2">
      <c r="A589" s="11">
        <v>500</v>
      </c>
      <c r="B589" s="11" t="s">
        <v>385</v>
      </c>
      <c r="C589" s="12" t="s">
        <v>386</v>
      </c>
    </row>
    <row r="590" spans="1:3" ht="11.85" customHeight="1" x14ac:dyDescent="0.2">
      <c r="A590" s="11">
        <v>283</v>
      </c>
      <c r="B590" s="11" t="s">
        <v>387</v>
      </c>
      <c r="C590" s="12" t="s">
        <v>1712</v>
      </c>
    </row>
    <row r="591" spans="1:3" ht="11.85" customHeight="1" x14ac:dyDescent="0.2">
      <c r="A591" s="11">
        <v>284</v>
      </c>
      <c r="B591" s="11" t="s">
        <v>978</v>
      </c>
      <c r="C591" s="12" t="s">
        <v>1713</v>
      </c>
    </row>
    <row r="592" spans="1:3" ht="11.85" customHeight="1" x14ac:dyDescent="0.2">
      <c r="A592" s="11">
        <v>821</v>
      </c>
      <c r="B592" s="11" t="s">
        <v>979</v>
      </c>
      <c r="C592" s="12" t="s">
        <v>1713</v>
      </c>
    </row>
    <row r="593" spans="1:3" ht="11.85" customHeight="1" x14ac:dyDescent="0.2">
      <c r="A593" s="11">
        <v>293</v>
      </c>
      <c r="B593" s="11" t="s">
        <v>388</v>
      </c>
      <c r="C593" s="12" t="s">
        <v>389</v>
      </c>
    </row>
    <row r="594" spans="1:3" ht="11.85" customHeight="1" x14ac:dyDescent="0.2">
      <c r="A594" s="11">
        <v>294</v>
      </c>
      <c r="B594" s="11" t="s">
        <v>390</v>
      </c>
      <c r="C594" s="12" t="s">
        <v>1675</v>
      </c>
    </row>
    <row r="595" spans="1:3" ht="11.85" customHeight="1" x14ac:dyDescent="0.2">
      <c r="A595" s="11">
        <v>822</v>
      </c>
      <c r="B595" s="11" t="s">
        <v>391</v>
      </c>
      <c r="C595" s="12" t="s">
        <v>392</v>
      </c>
    </row>
    <row r="596" spans="1:3" ht="11.85" customHeight="1" x14ac:dyDescent="0.2">
      <c r="A596" s="11">
        <v>823</v>
      </c>
      <c r="B596" s="11" t="s">
        <v>393</v>
      </c>
      <c r="C596" s="12" t="s">
        <v>104</v>
      </c>
    </row>
    <row r="597" spans="1:3" ht="11.85" customHeight="1" x14ac:dyDescent="0.2">
      <c r="A597" s="11">
        <v>824</v>
      </c>
      <c r="B597" s="11" t="s">
        <v>980</v>
      </c>
      <c r="C597" s="12" t="s">
        <v>1714</v>
      </c>
    </row>
    <row r="598" spans="1:3" ht="11.85" customHeight="1" x14ac:dyDescent="0.2">
      <c r="A598" s="11">
        <v>825</v>
      </c>
      <c r="B598" s="11" t="s">
        <v>981</v>
      </c>
      <c r="C598" s="12" t="s">
        <v>1715</v>
      </c>
    </row>
    <row r="599" spans="1:3" ht="11.85" customHeight="1" x14ac:dyDescent="0.2">
      <c r="A599" s="11">
        <v>826</v>
      </c>
      <c r="B599" s="11" t="s">
        <v>982</v>
      </c>
      <c r="C599" s="11" t="s">
        <v>404</v>
      </c>
    </row>
    <row r="600" spans="1:3" ht="11.85" customHeight="1" x14ac:dyDescent="0.2">
      <c r="A600" s="11">
        <v>827</v>
      </c>
      <c r="B600" s="11" t="s">
        <v>394</v>
      </c>
      <c r="C600" s="12" t="s">
        <v>401</v>
      </c>
    </row>
    <row r="601" spans="1:3" ht="11.85" customHeight="1" x14ac:dyDescent="0.2">
      <c r="A601" s="11">
        <v>828</v>
      </c>
      <c r="B601" s="11" t="s">
        <v>395</v>
      </c>
      <c r="C601" s="12" t="s">
        <v>29</v>
      </c>
    </row>
    <row r="602" spans="1:3" ht="11.85" customHeight="1" x14ac:dyDescent="0.2">
      <c r="A602" s="11">
        <v>829</v>
      </c>
      <c r="B602" s="11" t="s">
        <v>983</v>
      </c>
      <c r="C602" s="12" t="s">
        <v>1678</v>
      </c>
    </row>
    <row r="603" spans="1:3" ht="11.85" customHeight="1" x14ac:dyDescent="0.2">
      <c r="A603" s="11">
        <v>830</v>
      </c>
      <c r="B603" s="11" t="s">
        <v>984</v>
      </c>
      <c r="C603" s="12" t="s">
        <v>1679</v>
      </c>
    </row>
    <row r="604" spans="1:3" ht="11.85" customHeight="1" x14ac:dyDescent="0.2">
      <c r="A604" s="11">
        <v>831</v>
      </c>
      <c r="B604" s="11" t="s">
        <v>985</v>
      </c>
      <c r="C604" s="12" t="s">
        <v>1716</v>
      </c>
    </row>
    <row r="605" spans="1:3" ht="11.85" customHeight="1" x14ac:dyDescent="0.2">
      <c r="A605" s="11">
        <v>832</v>
      </c>
      <c r="B605" s="11" t="s">
        <v>986</v>
      </c>
      <c r="C605" s="12" t="s">
        <v>1717</v>
      </c>
    </row>
    <row r="606" spans="1:3" ht="11.85" customHeight="1" x14ac:dyDescent="0.2">
      <c r="A606" s="11">
        <v>833</v>
      </c>
      <c r="B606" s="11" t="s">
        <v>987</v>
      </c>
      <c r="C606" s="12" t="s">
        <v>1682</v>
      </c>
    </row>
    <row r="607" spans="1:3" ht="11.85" customHeight="1" x14ac:dyDescent="0.2">
      <c r="A607" s="11">
        <v>834</v>
      </c>
      <c r="B607" s="11" t="s">
        <v>988</v>
      </c>
      <c r="C607" s="12" t="s">
        <v>402</v>
      </c>
    </row>
    <row r="608" spans="1:3" ht="11.85" customHeight="1" x14ac:dyDescent="0.2">
      <c r="A608" s="11">
        <v>835</v>
      </c>
      <c r="B608" s="11" t="s">
        <v>989</v>
      </c>
      <c r="C608" s="12" t="s">
        <v>1683</v>
      </c>
    </row>
    <row r="609" spans="1:3" ht="11.85" customHeight="1" x14ac:dyDescent="0.2">
      <c r="A609" s="11">
        <v>836</v>
      </c>
      <c r="B609" s="11" t="s">
        <v>990</v>
      </c>
      <c r="C609" s="12" t="s">
        <v>403</v>
      </c>
    </row>
    <row r="610" spans="1:3" ht="11.85" customHeight="1" x14ac:dyDescent="0.2">
      <c r="A610" s="11">
        <v>837</v>
      </c>
      <c r="B610" s="11" t="s">
        <v>991</v>
      </c>
      <c r="C610" s="12" t="s">
        <v>1684</v>
      </c>
    </row>
    <row r="611" spans="1:3" ht="11.85" customHeight="1" x14ac:dyDescent="0.2">
      <c r="A611" s="11">
        <v>838</v>
      </c>
      <c r="B611" s="11" t="s">
        <v>992</v>
      </c>
      <c r="C611" s="12" t="s">
        <v>1685</v>
      </c>
    </row>
    <row r="612" spans="1:3" ht="11.85" customHeight="1" x14ac:dyDescent="0.2">
      <c r="A612" s="11">
        <v>839</v>
      </c>
      <c r="B612" s="11" t="s">
        <v>993</v>
      </c>
      <c r="C612" s="12" t="s">
        <v>1686</v>
      </c>
    </row>
    <row r="613" spans="1:3" ht="11.85" customHeight="1" x14ac:dyDescent="0.2">
      <c r="A613" s="11">
        <v>965</v>
      </c>
      <c r="B613" s="11" t="s">
        <v>1001</v>
      </c>
      <c r="C613" s="12" t="s">
        <v>1694</v>
      </c>
    </row>
    <row r="614" spans="1:3" ht="11.85" customHeight="1" x14ac:dyDescent="0.2">
      <c r="A614" s="11">
        <v>846</v>
      </c>
      <c r="B614" s="11" t="s">
        <v>396</v>
      </c>
      <c r="C614" s="12" t="s">
        <v>1695</v>
      </c>
    </row>
    <row r="615" spans="1:3" ht="11.85" customHeight="1" x14ac:dyDescent="0.2">
      <c r="A615" s="11">
        <v>847</v>
      </c>
      <c r="B615" s="11" t="s">
        <v>1002</v>
      </c>
      <c r="C615" s="12" t="s">
        <v>1696</v>
      </c>
    </row>
    <row r="616" spans="1:3" ht="11.85" customHeight="1" x14ac:dyDescent="0.2">
      <c r="A616" s="11">
        <v>848</v>
      </c>
      <c r="B616" s="11" t="s">
        <v>1003</v>
      </c>
      <c r="C616" s="12" t="s">
        <v>1697</v>
      </c>
    </row>
    <row r="617" spans="1:3" ht="11.85" customHeight="1" x14ac:dyDescent="0.2">
      <c r="A617" s="11">
        <v>849</v>
      </c>
      <c r="B617" s="11" t="s">
        <v>1004</v>
      </c>
      <c r="C617" s="12" t="s">
        <v>1698</v>
      </c>
    </row>
    <row r="618" spans="1:3" ht="11.85" customHeight="1" x14ac:dyDescent="0.2">
      <c r="A618" s="11">
        <v>850</v>
      </c>
      <c r="B618" s="11" t="s">
        <v>1005</v>
      </c>
      <c r="C618" s="12" t="s">
        <v>38</v>
      </c>
    </row>
    <row r="619" spans="1:3" ht="11.85" customHeight="1" x14ac:dyDescent="0.2">
      <c r="A619" s="11">
        <v>851</v>
      </c>
      <c r="B619" s="11" t="s">
        <v>1006</v>
      </c>
      <c r="C619" s="12" t="s">
        <v>1721</v>
      </c>
    </row>
    <row r="620" spans="1:3" ht="11.85" customHeight="1" x14ac:dyDescent="0.2">
      <c r="A620" s="11">
        <v>852</v>
      </c>
      <c r="B620" s="11" t="s">
        <v>1007</v>
      </c>
      <c r="C620" s="12" t="s">
        <v>158</v>
      </c>
    </row>
    <row r="621" spans="1:3" ht="11.85" customHeight="1" x14ac:dyDescent="0.2">
      <c r="A621" s="11">
        <v>853</v>
      </c>
      <c r="B621" s="11" t="s">
        <v>1008</v>
      </c>
      <c r="C621" s="12" t="s">
        <v>1700</v>
      </c>
    </row>
    <row r="622" spans="1:3" ht="11.85" customHeight="1" x14ac:dyDescent="0.2">
      <c r="A622" s="11">
        <v>854</v>
      </c>
      <c r="B622" s="11" t="s">
        <v>1009</v>
      </c>
      <c r="C622" s="12" t="s">
        <v>153</v>
      </c>
    </row>
    <row r="623" spans="1:3" ht="11.85" customHeight="1" x14ac:dyDescent="0.2">
      <c r="A623" s="11">
        <v>855</v>
      </c>
      <c r="B623" s="11" t="s">
        <v>1010</v>
      </c>
      <c r="C623" s="12" t="s">
        <v>1701</v>
      </c>
    </row>
    <row r="624" spans="1:3" ht="11.85" customHeight="1" x14ac:dyDescent="0.2">
      <c r="A624" s="11">
        <v>856</v>
      </c>
      <c r="B624" s="11" t="s">
        <v>397</v>
      </c>
      <c r="C624" s="12" t="s">
        <v>398</v>
      </c>
    </row>
    <row r="625" spans="1:3" ht="11.85" customHeight="1" x14ac:dyDescent="0.2">
      <c r="A625" s="11">
        <v>857</v>
      </c>
      <c r="B625" s="11" t="s">
        <v>399</v>
      </c>
      <c r="C625" s="12" t="s">
        <v>400</v>
      </c>
    </row>
    <row r="626" spans="1:3" ht="11.85" customHeight="1" x14ac:dyDescent="0.2">
      <c r="A626" s="11">
        <v>858</v>
      </c>
      <c r="B626" s="11" t="s">
        <v>1011</v>
      </c>
      <c r="C626" s="12" t="s">
        <v>448</v>
      </c>
    </row>
    <row r="627" spans="1:3" ht="11.85" customHeight="1" x14ac:dyDescent="0.2">
      <c r="A627" s="11">
        <v>859</v>
      </c>
      <c r="B627" s="11" t="s">
        <v>1012</v>
      </c>
      <c r="C627" s="12" t="s">
        <v>1702</v>
      </c>
    </row>
    <row r="628" spans="1:3" ht="11.85" customHeight="1" x14ac:dyDescent="0.2">
      <c r="A628" s="11">
        <v>860</v>
      </c>
      <c r="B628" s="11" t="s">
        <v>1013</v>
      </c>
      <c r="C628" s="12" t="s">
        <v>1703</v>
      </c>
    </row>
    <row r="629" spans="1:3" ht="11.85" customHeight="1" x14ac:dyDescent="0.2">
      <c r="A629" s="11">
        <v>861</v>
      </c>
      <c r="B629" s="11" t="s">
        <v>1014</v>
      </c>
      <c r="C629" s="12" t="s">
        <v>454</v>
      </c>
    </row>
    <row r="630" spans="1:3" ht="11.85" customHeight="1" x14ac:dyDescent="0.2">
      <c r="A630" s="11">
        <v>862</v>
      </c>
      <c r="B630" s="11" t="s">
        <v>1015</v>
      </c>
      <c r="C630" s="12" t="s">
        <v>152</v>
      </c>
    </row>
    <row r="631" spans="1:3" ht="11.85" customHeight="1" x14ac:dyDescent="0.2">
      <c r="A631" s="11">
        <v>863</v>
      </c>
      <c r="B631" s="11" t="s">
        <v>1016</v>
      </c>
      <c r="C631" s="12" t="s">
        <v>1704</v>
      </c>
    </row>
    <row r="632" spans="1:3" ht="11.85" customHeight="1" x14ac:dyDescent="0.2">
      <c r="A632" s="11">
        <v>864</v>
      </c>
      <c r="B632" s="11" t="s">
        <v>1017</v>
      </c>
      <c r="C632" s="12" t="s">
        <v>1705</v>
      </c>
    </row>
    <row r="633" spans="1:3" ht="11.85" customHeight="1" x14ac:dyDescent="0.2">
      <c r="A633" s="11">
        <v>865</v>
      </c>
      <c r="B633" s="11" t="s">
        <v>1018</v>
      </c>
      <c r="C633" s="12" t="s">
        <v>254</v>
      </c>
    </row>
    <row r="634" spans="1:3" ht="11.85" customHeight="1" x14ac:dyDescent="0.2">
      <c r="A634" s="11">
        <v>866</v>
      </c>
      <c r="B634" s="11" t="s">
        <v>1019</v>
      </c>
      <c r="C634" s="12" t="s">
        <v>1706</v>
      </c>
    </row>
    <row r="635" spans="1:3" ht="11.85" customHeight="1" x14ac:dyDescent="0.2">
      <c r="A635" s="11">
        <v>867</v>
      </c>
      <c r="B635" s="11" t="s">
        <v>1020</v>
      </c>
      <c r="C635" s="12" t="s">
        <v>1707</v>
      </c>
    </row>
    <row r="636" spans="1:3" ht="11.85" customHeight="1" x14ac:dyDescent="0.2">
      <c r="A636" s="11">
        <v>295</v>
      </c>
      <c r="B636" s="11" t="s">
        <v>406</v>
      </c>
      <c r="C636" s="12" t="s">
        <v>145</v>
      </c>
    </row>
    <row r="637" spans="1:3" ht="11.85" customHeight="1" x14ac:dyDescent="0.2">
      <c r="A637" s="11">
        <v>296</v>
      </c>
      <c r="B637" s="11" t="s">
        <v>407</v>
      </c>
      <c r="C637" s="12" t="s">
        <v>146</v>
      </c>
    </row>
    <row r="638" spans="1:3" ht="11.85" customHeight="1" x14ac:dyDescent="0.2">
      <c r="A638" s="11">
        <v>297</v>
      </c>
      <c r="B638" s="11" t="s">
        <v>1030</v>
      </c>
      <c r="C638" s="12" t="s">
        <v>147</v>
      </c>
    </row>
    <row r="639" spans="1:3" ht="11.85" customHeight="1" x14ac:dyDescent="0.2">
      <c r="A639" s="11">
        <v>298</v>
      </c>
      <c r="B639" s="11" t="s">
        <v>1031</v>
      </c>
      <c r="C639" s="12" t="s">
        <v>392</v>
      </c>
    </row>
    <row r="640" spans="1:3" ht="11.85" customHeight="1" x14ac:dyDescent="0.2">
      <c r="A640" s="11">
        <v>299</v>
      </c>
      <c r="B640" s="11" t="s">
        <v>1032</v>
      </c>
      <c r="C640" s="12" t="s">
        <v>104</v>
      </c>
    </row>
    <row r="641" spans="1:3" ht="11.85" customHeight="1" x14ac:dyDescent="0.2">
      <c r="A641" s="11">
        <v>300</v>
      </c>
      <c r="B641" s="11" t="s">
        <v>1033</v>
      </c>
      <c r="C641" s="12" t="s">
        <v>1676</v>
      </c>
    </row>
    <row r="642" spans="1:3" ht="11.85" customHeight="1" x14ac:dyDescent="0.2">
      <c r="A642" s="11">
        <v>301</v>
      </c>
      <c r="B642" s="11" t="s">
        <v>1034</v>
      </c>
      <c r="C642" s="12" t="s">
        <v>1677</v>
      </c>
    </row>
    <row r="643" spans="1:3" ht="11.85" customHeight="1" x14ac:dyDescent="0.2">
      <c r="A643" s="11">
        <v>302</v>
      </c>
      <c r="B643" s="11" t="s">
        <v>1035</v>
      </c>
      <c r="C643" s="12" t="s">
        <v>404</v>
      </c>
    </row>
    <row r="644" spans="1:3" ht="11.85" customHeight="1" x14ac:dyDescent="0.2">
      <c r="A644" s="11">
        <v>303</v>
      </c>
      <c r="B644" s="11" t="s">
        <v>1036</v>
      </c>
      <c r="C644" s="12" t="s">
        <v>401</v>
      </c>
    </row>
    <row r="645" spans="1:3" ht="11.85" customHeight="1" x14ac:dyDescent="0.2">
      <c r="A645" s="11">
        <v>304</v>
      </c>
      <c r="B645" s="11" t="s">
        <v>1037</v>
      </c>
      <c r="C645" s="12" t="s">
        <v>29</v>
      </c>
    </row>
    <row r="646" spans="1:3" ht="11.85" customHeight="1" x14ac:dyDescent="0.2">
      <c r="A646" s="11">
        <v>305</v>
      </c>
      <c r="B646" s="11" t="s">
        <v>1038</v>
      </c>
      <c r="C646" s="12" t="s">
        <v>1678</v>
      </c>
    </row>
    <row r="647" spans="1:3" ht="11.85" customHeight="1" x14ac:dyDescent="0.2">
      <c r="A647" s="11">
        <v>306</v>
      </c>
      <c r="B647" s="11" t="s">
        <v>1039</v>
      </c>
      <c r="C647" s="12" t="s">
        <v>1679</v>
      </c>
    </row>
    <row r="648" spans="1:3" ht="11.85" customHeight="1" x14ac:dyDescent="0.2">
      <c r="A648" s="11">
        <v>498</v>
      </c>
      <c r="B648" s="11" t="s">
        <v>1040</v>
      </c>
      <c r="C648" s="12" t="s">
        <v>1716</v>
      </c>
    </row>
    <row r="649" spans="1:3" ht="11.85" customHeight="1" x14ac:dyDescent="0.2">
      <c r="A649" s="11">
        <v>511</v>
      </c>
      <c r="B649" s="11" t="s">
        <v>1041</v>
      </c>
      <c r="C649" s="12" t="s">
        <v>1681</v>
      </c>
    </row>
    <row r="650" spans="1:3" ht="11.85" customHeight="1" x14ac:dyDescent="0.2">
      <c r="A650" s="11">
        <v>512</v>
      </c>
      <c r="B650" s="11" t="s">
        <v>1042</v>
      </c>
      <c r="C650" s="12" t="s">
        <v>1682</v>
      </c>
    </row>
    <row r="651" spans="1:3" ht="11.85" customHeight="1" x14ac:dyDescent="0.2">
      <c r="A651" s="11">
        <v>868</v>
      </c>
      <c r="B651" s="11" t="s">
        <v>1043</v>
      </c>
      <c r="C651" s="12" t="s">
        <v>402</v>
      </c>
    </row>
    <row r="652" spans="1:3" ht="11.85" customHeight="1" x14ac:dyDescent="0.2">
      <c r="A652" s="11">
        <v>869</v>
      </c>
      <c r="B652" s="11" t="s">
        <v>1044</v>
      </c>
      <c r="C652" s="12" t="s">
        <v>1683</v>
      </c>
    </row>
    <row r="653" spans="1:3" ht="11.85" customHeight="1" x14ac:dyDescent="0.2">
      <c r="A653" s="11">
        <v>870</v>
      </c>
      <c r="B653" s="11" t="s">
        <v>1045</v>
      </c>
      <c r="C653" s="12" t="s">
        <v>403</v>
      </c>
    </row>
    <row r="654" spans="1:3" ht="11.85" customHeight="1" x14ac:dyDescent="0.2">
      <c r="A654" s="11">
        <v>871</v>
      </c>
      <c r="B654" s="11" t="s">
        <v>1046</v>
      </c>
      <c r="C654" s="12" t="s">
        <v>1684</v>
      </c>
    </row>
    <row r="655" spans="1:3" ht="11.85" customHeight="1" x14ac:dyDescent="0.2">
      <c r="A655" s="11">
        <v>872</v>
      </c>
      <c r="B655" s="11" t="s">
        <v>1047</v>
      </c>
      <c r="C655" s="12" t="s">
        <v>1685</v>
      </c>
    </row>
    <row r="656" spans="1:3" ht="11.85" customHeight="1" x14ac:dyDescent="0.2">
      <c r="A656" s="11">
        <v>873</v>
      </c>
      <c r="B656" s="11" t="s">
        <v>1048</v>
      </c>
      <c r="C656" s="12" t="s">
        <v>1686</v>
      </c>
    </row>
    <row r="657" spans="1:3" ht="11.85" customHeight="1" x14ac:dyDescent="0.2">
      <c r="A657" s="11">
        <v>874</v>
      </c>
      <c r="B657" s="11" t="s">
        <v>1049</v>
      </c>
      <c r="C657" s="12" t="s">
        <v>1687</v>
      </c>
    </row>
    <row r="658" spans="1:3" ht="11.85" customHeight="1" x14ac:dyDescent="0.2">
      <c r="A658" s="11">
        <v>875</v>
      </c>
      <c r="B658" s="11" t="s">
        <v>1050</v>
      </c>
      <c r="C658" s="12" t="s">
        <v>1688</v>
      </c>
    </row>
    <row r="659" spans="1:3" ht="11.85" customHeight="1" x14ac:dyDescent="0.2">
      <c r="A659" s="11">
        <v>876</v>
      </c>
      <c r="B659" s="11" t="s">
        <v>1051</v>
      </c>
      <c r="C659" s="12" t="s">
        <v>1689</v>
      </c>
    </row>
    <row r="660" spans="1:3" ht="11.85" customHeight="1" x14ac:dyDescent="0.2">
      <c r="A660" s="11">
        <v>877</v>
      </c>
      <c r="B660" s="11" t="s">
        <v>1052</v>
      </c>
      <c r="C660" s="12" t="s">
        <v>1718</v>
      </c>
    </row>
    <row r="661" spans="1:3" ht="11.85" customHeight="1" x14ac:dyDescent="0.2">
      <c r="A661" s="11">
        <v>878</v>
      </c>
      <c r="B661" s="11" t="s">
        <v>1053</v>
      </c>
      <c r="C661" s="12" t="s">
        <v>1719</v>
      </c>
    </row>
    <row r="662" spans="1:3" ht="11.85" customHeight="1" x14ac:dyDescent="0.2">
      <c r="A662" s="11">
        <v>879</v>
      </c>
      <c r="B662" s="11" t="s">
        <v>1054</v>
      </c>
      <c r="C662" s="12" t="s">
        <v>1720</v>
      </c>
    </row>
    <row r="663" spans="1:3" ht="11.85" customHeight="1" x14ac:dyDescent="0.2">
      <c r="A663" s="11">
        <v>880</v>
      </c>
      <c r="B663" s="11" t="s">
        <v>1055</v>
      </c>
      <c r="C663" s="12" t="s">
        <v>1693</v>
      </c>
    </row>
    <row r="664" spans="1:3" ht="11.85" customHeight="1" x14ac:dyDescent="0.2">
      <c r="A664" s="11">
        <v>966</v>
      </c>
      <c r="B664" s="11" t="s">
        <v>1056</v>
      </c>
      <c r="C664" s="12" t="s">
        <v>1694</v>
      </c>
    </row>
    <row r="665" spans="1:3" ht="11.85" customHeight="1" x14ac:dyDescent="0.2">
      <c r="A665" s="11">
        <v>307</v>
      </c>
      <c r="B665" s="11" t="s">
        <v>408</v>
      </c>
      <c r="C665" s="12" t="s">
        <v>148</v>
      </c>
    </row>
    <row r="666" spans="1:3" ht="11.85" customHeight="1" x14ac:dyDescent="0.2">
      <c r="A666" s="11">
        <v>308</v>
      </c>
      <c r="B666" s="11" t="s">
        <v>1057</v>
      </c>
      <c r="C666" s="12" t="s">
        <v>1511</v>
      </c>
    </row>
    <row r="667" spans="1:3" ht="11.85" customHeight="1" x14ac:dyDescent="0.2">
      <c r="A667" s="11">
        <v>881</v>
      </c>
      <c r="B667" s="11" t="s">
        <v>1058</v>
      </c>
      <c r="C667" s="12" t="s">
        <v>1724</v>
      </c>
    </row>
    <row r="668" spans="1:3" ht="11.85" customHeight="1" x14ac:dyDescent="0.2">
      <c r="A668" s="11">
        <v>882</v>
      </c>
      <c r="B668" s="11" t="s">
        <v>1059</v>
      </c>
      <c r="C668" s="12" t="s">
        <v>76</v>
      </c>
    </row>
    <row r="669" spans="1:3" ht="11.85" customHeight="1" x14ac:dyDescent="0.2">
      <c r="A669" s="11">
        <v>883</v>
      </c>
      <c r="B669" s="11" t="s">
        <v>1060</v>
      </c>
      <c r="C669" s="12" t="s">
        <v>1725</v>
      </c>
    </row>
    <row r="670" spans="1:3" ht="11.85" customHeight="1" x14ac:dyDescent="0.2">
      <c r="A670" s="11">
        <v>884</v>
      </c>
      <c r="B670" s="11" t="s">
        <v>1061</v>
      </c>
      <c r="C670" s="12" t="s">
        <v>1726</v>
      </c>
    </row>
    <row r="671" spans="1:3" ht="11.85" customHeight="1" x14ac:dyDescent="0.2">
      <c r="A671" s="11">
        <v>885</v>
      </c>
      <c r="B671" s="11" t="s">
        <v>409</v>
      </c>
      <c r="C671" s="12" t="s">
        <v>410</v>
      </c>
    </row>
    <row r="672" spans="1:3" ht="11.85" customHeight="1" x14ac:dyDescent="0.2">
      <c r="A672" s="11">
        <v>886</v>
      </c>
      <c r="B672" s="11" t="s">
        <v>1062</v>
      </c>
      <c r="C672" s="12" t="s">
        <v>1697</v>
      </c>
    </row>
    <row r="673" spans="1:3" ht="11.85" customHeight="1" x14ac:dyDescent="0.2">
      <c r="A673" s="11">
        <v>887</v>
      </c>
      <c r="B673" s="11" t="s">
        <v>1063</v>
      </c>
      <c r="C673" s="12" t="s">
        <v>405</v>
      </c>
    </row>
    <row r="674" spans="1:3" ht="11.85" customHeight="1" x14ac:dyDescent="0.2">
      <c r="A674" s="11">
        <v>888</v>
      </c>
      <c r="B674" s="11" t="s">
        <v>411</v>
      </c>
      <c r="C674" s="12" t="s">
        <v>412</v>
      </c>
    </row>
    <row r="675" spans="1:3" ht="11.85" customHeight="1" x14ac:dyDescent="0.2">
      <c r="A675" s="11">
        <v>889</v>
      </c>
      <c r="B675" s="11" t="s">
        <v>1064</v>
      </c>
      <c r="C675" s="12" t="s">
        <v>1727</v>
      </c>
    </row>
    <row r="676" spans="1:3" ht="11.85" customHeight="1" x14ac:dyDescent="0.2">
      <c r="A676" s="11">
        <v>890</v>
      </c>
      <c r="B676" s="11" t="s">
        <v>1065</v>
      </c>
      <c r="C676" s="12" t="s">
        <v>1728</v>
      </c>
    </row>
    <row r="677" spans="1:3" ht="11.85" customHeight="1" x14ac:dyDescent="0.2">
      <c r="A677" s="11">
        <v>891</v>
      </c>
      <c r="B677" s="11" t="s">
        <v>1066</v>
      </c>
      <c r="C677" s="11" t="s">
        <v>1729</v>
      </c>
    </row>
    <row r="678" spans="1:3" ht="11.85" customHeight="1" x14ac:dyDescent="0.2">
      <c r="A678" s="11">
        <v>892</v>
      </c>
      <c r="B678" s="11" t="s">
        <v>413</v>
      </c>
      <c r="C678" s="12" t="s">
        <v>414</v>
      </c>
    </row>
    <row r="679" spans="1:3" ht="11.85" customHeight="1" x14ac:dyDescent="0.2">
      <c r="A679" s="11">
        <v>893</v>
      </c>
      <c r="B679" s="11" t="s">
        <v>1067</v>
      </c>
      <c r="C679" s="12" t="s">
        <v>1730</v>
      </c>
    </row>
    <row r="680" spans="1:3" ht="11.85" customHeight="1" x14ac:dyDescent="0.2">
      <c r="A680" s="11">
        <v>894</v>
      </c>
      <c r="B680" s="11" t="s">
        <v>1068</v>
      </c>
      <c r="C680" s="12" t="s">
        <v>1731</v>
      </c>
    </row>
    <row r="681" spans="1:3" ht="11.85" customHeight="1" x14ac:dyDescent="0.2">
      <c r="A681" s="11">
        <v>895</v>
      </c>
      <c r="B681" s="11" t="s">
        <v>415</v>
      </c>
      <c r="C681" s="12" t="s">
        <v>416</v>
      </c>
    </row>
    <row r="682" spans="1:3" ht="11.85" customHeight="1" x14ac:dyDescent="0.2">
      <c r="A682" s="11">
        <v>896</v>
      </c>
      <c r="B682" s="11" t="s">
        <v>1069</v>
      </c>
      <c r="C682" s="12" t="s">
        <v>149</v>
      </c>
    </row>
    <row r="683" spans="1:3" ht="11.85" customHeight="1" x14ac:dyDescent="0.2">
      <c r="A683" s="11">
        <v>897</v>
      </c>
      <c r="B683" s="11" t="s">
        <v>1070</v>
      </c>
      <c r="C683" s="12" t="s">
        <v>1732</v>
      </c>
    </row>
    <row r="684" spans="1:3" ht="11.85" customHeight="1" x14ac:dyDescent="0.2">
      <c r="A684" s="11">
        <v>898</v>
      </c>
      <c r="B684" s="11" t="s">
        <v>1071</v>
      </c>
      <c r="C684" s="12" t="s">
        <v>1733</v>
      </c>
    </row>
    <row r="685" spans="1:3" ht="11.85" customHeight="1" x14ac:dyDescent="0.2">
      <c r="A685" s="11">
        <v>899</v>
      </c>
      <c r="B685" s="11" t="s">
        <v>1072</v>
      </c>
      <c r="C685" s="12" t="s">
        <v>150</v>
      </c>
    </row>
    <row r="686" spans="1:3" ht="11.85" customHeight="1" x14ac:dyDescent="0.2">
      <c r="A686" s="11">
        <v>900</v>
      </c>
      <c r="B686" s="11" t="s">
        <v>1073</v>
      </c>
      <c r="C686" s="12" t="s">
        <v>1734</v>
      </c>
    </row>
    <row r="687" spans="1:3" ht="11.85" customHeight="1" x14ac:dyDescent="0.2">
      <c r="A687" s="11">
        <v>901</v>
      </c>
      <c r="B687" s="11" t="s">
        <v>1074</v>
      </c>
      <c r="C687" s="12" t="s">
        <v>1735</v>
      </c>
    </row>
    <row r="688" spans="1:3" ht="11.85" customHeight="1" x14ac:dyDescent="0.2">
      <c r="A688" s="11">
        <v>902</v>
      </c>
      <c r="B688" s="11" t="s">
        <v>1075</v>
      </c>
      <c r="C688" s="12" t="s">
        <v>1736</v>
      </c>
    </row>
    <row r="689" spans="1:3" ht="11.85" customHeight="1" x14ac:dyDescent="0.2">
      <c r="A689" s="11">
        <v>903</v>
      </c>
      <c r="B689" s="11" t="s">
        <v>1076</v>
      </c>
      <c r="C689" s="12" t="s">
        <v>151</v>
      </c>
    </row>
    <row r="690" spans="1:3" ht="11.85" customHeight="1" x14ac:dyDescent="0.2">
      <c r="A690" s="11">
        <v>904</v>
      </c>
      <c r="B690" s="11" t="s">
        <v>417</v>
      </c>
      <c r="C690" s="12" t="s">
        <v>418</v>
      </c>
    </row>
    <row r="691" spans="1:3" ht="11.85" customHeight="1" x14ac:dyDescent="0.2">
      <c r="A691" s="11">
        <v>905</v>
      </c>
      <c r="B691" s="11" t="s">
        <v>419</v>
      </c>
      <c r="C691" s="12" t="s">
        <v>30</v>
      </c>
    </row>
    <row r="692" spans="1:3" ht="11.85" customHeight="1" x14ac:dyDescent="0.2">
      <c r="A692" s="11">
        <v>906</v>
      </c>
      <c r="B692" s="11" t="s">
        <v>1077</v>
      </c>
      <c r="C692" s="12" t="s">
        <v>152</v>
      </c>
    </row>
    <row r="693" spans="1:3" ht="11.85" customHeight="1" x14ac:dyDescent="0.2">
      <c r="A693" s="11">
        <v>907</v>
      </c>
      <c r="B693" s="11" t="s">
        <v>1078</v>
      </c>
      <c r="C693" s="12" t="s">
        <v>153</v>
      </c>
    </row>
    <row r="694" spans="1:3" ht="11.85" customHeight="1" x14ac:dyDescent="0.2">
      <c r="A694" s="11">
        <v>908</v>
      </c>
      <c r="B694" s="11" t="s">
        <v>1079</v>
      </c>
      <c r="C694" s="12" t="s">
        <v>154</v>
      </c>
    </row>
    <row r="695" spans="1:3" ht="11.85" customHeight="1" x14ac:dyDescent="0.2">
      <c r="A695" s="11">
        <v>909</v>
      </c>
      <c r="B695" s="11" t="s">
        <v>1080</v>
      </c>
      <c r="C695" s="12" t="s">
        <v>155</v>
      </c>
    </row>
    <row r="696" spans="1:3" ht="11.85" customHeight="1" x14ac:dyDescent="0.2">
      <c r="A696" s="11">
        <v>910</v>
      </c>
      <c r="B696" s="11" t="s">
        <v>420</v>
      </c>
      <c r="C696" s="12" t="s">
        <v>156</v>
      </c>
    </row>
    <row r="697" spans="1:3" ht="11.85" customHeight="1" x14ac:dyDescent="0.2">
      <c r="A697" s="11">
        <v>911</v>
      </c>
      <c r="B697" s="11" t="s">
        <v>421</v>
      </c>
      <c r="C697" s="12" t="s">
        <v>157</v>
      </c>
    </row>
    <row r="698" spans="1:3" ht="11.85" customHeight="1" x14ac:dyDescent="0.2">
      <c r="A698" s="11">
        <v>912</v>
      </c>
      <c r="B698" s="11" t="s">
        <v>1081</v>
      </c>
      <c r="C698" s="12" t="s">
        <v>158</v>
      </c>
    </row>
    <row r="699" spans="1:3" ht="11.85" customHeight="1" x14ac:dyDescent="0.2">
      <c r="A699" s="11">
        <v>913</v>
      </c>
      <c r="B699" s="11" t="s">
        <v>422</v>
      </c>
      <c r="C699" s="12" t="s">
        <v>423</v>
      </c>
    </row>
    <row r="700" spans="1:3" ht="11.85" customHeight="1" x14ac:dyDescent="0.2">
      <c r="A700" s="11">
        <v>914</v>
      </c>
      <c r="B700" s="11" t="s">
        <v>1082</v>
      </c>
      <c r="C700" s="12" t="s">
        <v>159</v>
      </c>
    </row>
    <row r="701" spans="1:3" ht="11.85" customHeight="1" x14ac:dyDescent="0.2">
      <c r="A701" s="11">
        <v>915</v>
      </c>
      <c r="B701" s="11" t="s">
        <v>1083</v>
      </c>
      <c r="C701" s="12" t="s">
        <v>160</v>
      </c>
    </row>
    <row r="702" spans="1:3" ht="11.85" customHeight="1" x14ac:dyDescent="0.2">
      <c r="A702" s="11">
        <v>916</v>
      </c>
      <c r="B702" s="11" t="s">
        <v>1084</v>
      </c>
      <c r="C702" s="12" t="s">
        <v>1737</v>
      </c>
    </row>
    <row r="703" spans="1:3" ht="11.85" customHeight="1" x14ac:dyDescent="0.2">
      <c r="A703" s="11">
        <v>976</v>
      </c>
      <c r="B703" s="11" t="s">
        <v>1085</v>
      </c>
      <c r="C703" s="12" t="s">
        <v>459</v>
      </c>
    </row>
    <row r="704" spans="1:3" ht="11.85" customHeight="1" x14ac:dyDescent="0.2">
      <c r="A704" s="11">
        <v>977</v>
      </c>
      <c r="B704" s="11" t="s">
        <v>1086</v>
      </c>
      <c r="C704" s="12" t="s">
        <v>1738</v>
      </c>
    </row>
    <row r="705" spans="1:3" ht="11.85" customHeight="1" x14ac:dyDescent="0.2">
      <c r="A705" s="11">
        <v>978</v>
      </c>
      <c r="B705" s="11" t="s">
        <v>1087</v>
      </c>
      <c r="C705" s="12" t="s">
        <v>1181</v>
      </c>
    </row>
    <row r="706" spans="1:3" ht="11.85" customHeight="1" x14ac:dyDescent="0.2">
      <c r="A706" s="11">
        <v>309</v>
      </c>
      <c r="B706" s="11" t="s">
        <v>428</v>
      </c>
      <c r="C706" s="12" t="s">
        <v>429</v>
      </c>
    </row>
    <row r="707" spans="1:3" ht="11.85" customHeight="1" x14ac:dyDescent="0.2">
      <c r="A707" s="11">
        <v>310</v>
      </c>
      <c r="B707" s="11" t="s">
        <v>431</v>
      </c>
      <c r="C707" s="12" t="s">
        <v>430</v>
      </c>
    </row>
    <row r="708" spans="1:3" ht="11.85" customHeight="1" x14ac:dyDescent="0.2">
      <c r="A708" s="11">
        <v>917</v>
      </c>
      <c r="B708" s="11" t="s">
        <v>432</v>
      </c>
      <c r="C708" s="12" t="s">
        <v>442</v>
      </c>
    </row>
    <row r="709" spans="1:3" ht="11.85" customHeight="1" x14ac:dyDescent="0.2">
      <c r="A709" s="11">
        <v>918</v>
      </c>
      <c r="B709" s="11" t="s">
        <v>433</v>
      </c>
      <c r="C709" s="12" t="s">
        <v>1708</v>
      </c>
    </row>
    <row r="710" spans="1:3" ht="11.85" customHeight="1" x14ac:dyDescent="0.2">
      <c r="A710" s="11">
        <v>919</v>
      </c>
      <c r="B710" s="11" t="s">
        <v>1089</v>
      </c>
      <c r="C710" s="12" t="s">
        <v>434</v>
      </c>
    </row>
    <row r="711" spans="1:3" ht="11.85" customHeight="1" x14ac:dyDescent="0.2">
      <c r="A711" s="11">
        <v>920</v>
      </c>
      <c r="B711" s="11" t="s">
        <v>435</v>
      </c>
      <c r="C711" s="12" t="s">
        <v>1741</v>
      </c>
    </row>
    <row r="712" spans="1:3" ht="11.85" customHeight="1" x14ac:dyDescent="0.2">
      <c r="A712" s="11">
        <v>921</v>
      </c>
      <c r="B712" s="11" t="s">
        <v>437</v>
      </c>
      <c r="C712" s="12" t="s">
        <v>443</v>
      </c>
    </row>
    <row r="713" spans="1:3" ht="11.85" customHeight="1" x14ac:dyDescent="0.2">
      <c r="A713" s="11">
        <v>922</v>
      </c>
      <c r="B713" s="11" t="s">
        <v>439</v>
      </c>
      <c r="C713" s="12" t="s">
        <v>436</v>
      </c>
    </row>
    <row r="714" spans="1:3" ht="11.85" customHeight="1" x14ac:dyDescent="0.2">
      <c r="A714" s="11">
        <v>923</v>
      </c>
      <c r="B714" s="11" t="s">
        <v>1090</v>
      </c>
      <c r="C714" s="12" t="s">
        <v>438</v>
      </c>
    </row>
    <row r="715" spans="1:3" ht="11.85" customHeight="1" x14ac:dyDescent="0.2">
      <c r="A715" s="11">
        <v>924</v>
      </c>
      <c r="B715" s="11" t="s">
        <v>1091</v>
      </c>
      <c r="C715" s="12" t="s">
        <v>440</v>
      </c>
    </row>
    <row r="716" spans="1:3" ht="11.85" customHeight="1" x14ac:dyDescent="0.2">
      <c r="A716" s="11">
        <v>311</v>
      </c>
      <c r="B716" s="11" t="s">
        <v>445</v>
      </c>
      <c r="C716" s="12" t="s">
        <v>461</v>
      </c>
    </row>
    <row r="717" spans="1:3" ht="11.85" customHeight="1" x14ac:dyDescent="0.2">
      <c r="A717" s="11">
        <v>312</v>
      </c>
      <c r="B717" s="11" t="s">
        <v>446</v>
      </c>
      <c r="C717" s="12" t="s">
        <v>1597</v>
      </c>
    </row>
    <row r="718" spans="1:3" ht="11.85" customHeight="1" x14ac:dyDescent="0.2">
      <c r="A718" s="11">
        <v>313</v>
      </c>
      <c r="B718" s="11" t="s">
        <v>447</v>
      </c>
      <c r="C718" s="12" t="s">
        <v>1743</v>
      </c>
    </row>
    <row r="719" spans="1:3" ht="11.85" customHeight="1" x14ac:dyDescent="0.2">
      <c r="A719" s="11">
        <v>925</v>
      </c>
      <c r="B719" s="11" t="s">
        <v>449</v>
      </c>
      <c r="C719" s="12" t="s">
        <v>1744</v>
      </c>
    </row>
    <row r="720" spans="1:3" ht="11.85" customHeight="1" x14ac:dyDescent="0.2">
      <c r="A720" s="11">
        <v>926</v>
      </c>
      <c r="B720" s="11" t="s">
        <v>450</v>
      </c>
      <c r="C720" s="12" t="s">
        <v>463</v>
      </c>
    </row>
    <row r="721" spans="1:3" ht="11.85" customHeight="1" x14ac:dyDescent="0.2">
      <c r="A721" s="11">
        <v>927</v>
      </c>
      <c r="B721" s="11" t="s">
        <v>451</v>
      </c>
      <c r="C721" s="12" t="s">
        <v>465</v>
      </c>
    </row>
    <row r="722" spans="1:3" ht="11.85" customHeight="1" x14ac:dyDescent="0.2">
      <c r="A722" s="11">
        <v>928</v>
      </c>
      <c r="B722" s="11" t="s">
        <v>1092</v>
      </c>
      <c r="C722" s="12" t="s">
        <v>466</v>
      </c>
    </row>
    <row r="723" spans="1:3" ht="11.85" customHeight="1" x14ac:dyDescent="0.2">
      <c r="A723" s="11">
        <v>929</v>
      </c>
      <c r="B723" s="11" t="s">
        <v>452</v>
      </c>
      <c r="C723" s="12" t="s">
        <v>1745</v>
      </c>
    </row>
    <row r="724" spans="1:3" ht="11.85" customHeight="1" x14ac:dyDescent="0.2">
      <c r="A724" s="11">
        <v>930</v>
      </c>
      <c r="B724" s="11" t="s">
        <v>453</v>
      </c>
      <c r="C724" s="12" t="s">
        <v>1746</v>
      </c>
    </row>
    <row r="725" spans="1:3" ht="11.85" customHeight="1" x14ac:dyDescent="0.2">
      <c r="A725" s="11">
        <v>931</v>
      </c>
      <c r="B725" s="11" t="s">
        <v>1093</v>
      </c>
      <c r="C725" s="12" t="s">
        <v>467</v>
      </c>
    </row>
    <row r="726" spans="1:3" ht="11.85" customHeight="1" x14ac:dyDescent="0.2">
      <c r="A726" s="11">
        <v>932</v>
      </c>
      <c r="B726" s="11" t="s">
        <v>1094</v>
      </c>
      <c r="C726" s="12" t="s">
        <v>1747</v>
      </c>
    </row>
    <row r="727" spans="1:3" ht="11.85" customHeight="1" x14ac:dyDescent="0.2">
      <c r="A727" s="11">
        <v>933</v>
      </c>
      <c r="B727" s="11" t="s">
        <v>1095</v>
      </c>
      <c r="C727" s="12" t="s">
        <v>1595</v>
      </c>
    </row>
    <row r="728" spans="1:3" ht="11.85" customHeight="1" x14ac:dyDescent="0.2">
      <c r="A728" s="11">
        <v>934</v>
      </c>
      <c r="B728" s="11" t="s">
        <v>1096</v>
      </c>
      <c r="C728" s="12" t="s">
        <v>468</v>
      </c>
    </row>
    <row r="729" spans="1:3" ht="11.85" customHeight="1" x14ac:dyDescent="0.2">
      <c r="A729" s="11">
        <v>935</v>
      </c>
      <c r="B729" s="11" t="s">
        <v>1097</v>
      </c>
      <c r="C729" s="12" t="s">
        <v>1149</v>
      </c>
    </row>
    <row r="730" spans="1:3" ht="11.85" customHeight="1" x14ac:dyDescent="0.2">
      <c r="A730" s="11">
        <v>936</v>
      </c>
      <c r="B730" s="11" t="s">
        <v>455</v>
      </c>
      <c r="C730" s="12" t="s">
        <v>469</v>
      </c>
    </row>
    <row r="731" spans="1:3" ht="11.85" customHeight="1" x14ac:dyDescent="0.2">
      <c r="A731" s="11">
        <v>937</v>
      </c>
      <c r="B731" s="11" t="s">
        <v>1098</v>
      </c>
      <c r="C731" s="12" t="s">
        <v>1748</v>
      </c>
    </row>
    <row r="732" spans="1:3" ht="11.85" customHeight="1" x14ac:dyDescent="0.2">
      <c r="A732" s="11">
        <v>938</v>
      </c>
      <c r="B732" s="11" t="s">
        <v>456</v>
      </c>
      <c r="C732" s="12" t="s">
        <v>1599</v>
      </c>
    </row>
    <row r="733" spans="1:3" ht="11.85" customHeight="1" x14ac:dyDescent="0.2">
      <c r="A733" s="11">
        <v>939</v>
      </c>
      <c r="B733" s="11" t="s">
        <v>457</v>
      </c>
      <c r="C733" s="12" t="s">
        <v>470</v>
      </c>
    </row>
    <row r="734" spans="1:3" ht="11.85" customHeight="1" x14ac:dyDescent="0.2">
      <c r="A734" s="11">
        <v>979</v>
      </c>
      <c r="B734" s="11" t="s">
        <v>458</v>
      </c>
      <c r="C734" s="12" t="s">
        <v>471</v>
      </c>
    </row>
    <row r="735" spans="1:3" ht="11.85" customHeight="1" x14ac:dyDescent="0.2">
      <c r="A735" s="11">
        <v>314</v>
      </c>
      <c r="B735" s="11" t="s">
        <v>460</v>
      </c>
      <c r="C735" s="12" t="s">
        <v>473</v>
      </c>
    </row>
    <row r="736" spans="1:3" ht="11.85" customHeight="1" x14ac:dyDescent="0.2">
      <c r="A736" s="11">
        <v>940</v>
      </c>
      <c r="B736" s="11" t="s">
        <v>1099</v>
      </c>
      <c r="C736" s="12" t="s">
        <v>1749</v>
      </c>
    </row>
    <row r="737" spans="1:3" ht="11.85" customHeight="1" x14ac:dyDescent="0.2">
      <c r="A737" s="11">
        <v>316</v>
      </c>
      <c r="B737" s="11" t="s">
        <v>1100</v>
      </c>
      <c r="C737" s="12" t="s">
        <v>475</v>
      </c>
    </row>
    <row r="738" spans="1:3" ht="11.85" customHeight="1" x14ac:dyDescent="0.2">
      <c r="A738" s="11">
        <v>317</v>
      </c>
      <c r="B738" s="11" t="s">
        <v>1101</v>
      </c>
      <c r="C738" s="12" t="s">
        <v>1750</v>
      </c>
    </row>
    <row r="739" spans="1:3" ht="11.85" customHeight="1" x14ac:dyDescent="0.2">
      <c r="A739" s="11">
        <v>318</v>
      </c>
      <c r="B739" s="11" t="s">
        <v>462</v>
      </c>
      <c r="C739" s="12" t="s">
        <v>1751</v>
      </c>
    </row>
    <row r="740" spans="1:3" ht="11.85" customHeight="1" x14ac:dyDescent="0.2">
      <c r="A740" s="11">
        <v>315</v>
      </c>
      <c r="B740" s="11" t="s">
        <v>464</v>
      </c>
      <c r="C740" s="12" t="s">
        <v>1752</v>
      </c>
    </row>
    <row r="741" spans="1:3" ht="11.85" customHeight="1" x14ac:dyDescent="0.2">
      <c r="A741" s="11">
        <v>319</v>
      </c>
      <c r="B741" s="11" t="s">
        <v>472</v>
      </c>
      <c r="C741" s="12" t="s">
        <v>477</v>
      </c>
    </row>
    <row r="742" spans="1:3" ht="11.85" customHeight="1" x14ac:dyDescent="0.2">
      <c r="A742" s="11">
        <v>320</v>
      </c>
      <c r="B742" s="11" t="s">
        <v>1102</v>
      </c>
      <c r="C742" s="12" t="s">
        <v>1753</v>
      </c>
    </row>
    <row r="743" spans="1:3" ht="11.85" customHeight="1" x14ac:dyDescent="0.2">
      <c r="A743" s="11">
        <v>321</v>
      </c>
      <c r="B743" s="11" t="s">
        <v>474</v>
      </c>
      <c r="C743" s="12" t="s">
        <v>1754</v>
      </c>
    </row>
    <row r="744" spans="1:3" ht="11.85" customHeight="1" x14ac:dyDescent="0.2">
      <c r="A744" s="11">
        <v>322</v>
      </c>
      <c r="B744" s="11" t="s">
        <v>1103</v>
      </c>
      <c r="C744" s="12" t="s">
        <v>1755</v>
      </c>
    </row>
    <row r="745" spans="1:3" ht="11.85" customHeight="1" x14ac:dyDescent="0.2">
      <c r="A745" s="11">
        <v>323</v>
      </c>
      <c r="B745" s="11" t="s">
        <v>1104</v>
      </c>
      <c r="C745" s="12" t="s">
        <v>1756</v>
      </c>
    </row>
    <row r="746" spans="1:3" ht="11.85" customHeight="1" x14ac:dyDescent="0.2">
      <c r="A746" s="11">
        <v>324</v>
      </c>
      <c r="B746" s="11" t="s">
        <v>1105</v>
      </c>
      <c r="C746" s="12" t="s">
        <v>1757</v>
      </c>
    </row>
    <row r="747" spans="1:3" ht="11.85" customHeight="1" x14ac:dyDescent="0.2">
      <c r="A747" s="11">
        <v>325</v>
      </c>
      <c r="B747" s="11" t="s">
        <v>1106</v>
      </c>
      <c r="C747" s="12" t="s">
        <v>161</v>
      </c>
    </row>
    <row r="748" spans="1:3" ht="11.85" customHeight="1" x14ac:dyDescent="0.2">
      <c r="A748" s="11">
        <v>326</v>
      </c>
      <c r="B748" s="11" t="s">
        <v>1107</v>
      </c>
      <c r="C748" s="12" t="s">
        <v>1758</v>
      </c>
    </row>
    <row r="749" spans="1:3" ht="11.85" customHeight="1" x14ac:dyDescent="0.2">
      <c r="A749" s="11">
        <v>941</v>
      </c>
      <c r="B749" s="11" t="s">
        <v>1108</v>
      </c>
      <c r="C749" s="12" t="s">
        <v>1759</v>
      </c>
    </row>
    <row r="750" spans="1:3" ht="11.85" customHeight="1" x14ac:dyDescent="0.2">
      <c r="A750" s="11">
        <v>942</v>
      </c>
      <c r="B750" s="11" t="s">
        <v>1109</v>
      </c>
      <c r="C750" s="12" t="s">
        <v>478</v>
      </c>
    </row>
    <row r="751" spans="1:3" ht="11.85" customHeight="1" x14ac:dyDescent="0.2">
      <c r="A751" s="11">
        <v>327</v>
      </c>
      <c r="B751" s="11" t="s">
        <v>476</v>
      </c>
      <c r="C751" s="12" t="s">
        <v>1761</v>
      </c>
    </row>
    <row r="752" spans="1:3" ht="11.85" customHeight="1" x14ac:dyDescent="0.2">
      <c r="A752" s="11">
        <v>328</v>
      </c>
      <c r="B752" s="11" t="s">
        <v>1111</v>
      </c>
      <c r="C752" s="12" t="s">
        <v>1762</v>
      </c>
    </row>
    <row r="753" spans="1:3" ht="11.85" customHeight="1" x14ac:dyDescent="0.2">
      <c r="A753" s="11">
        <v>943</v>
      </c>
      <c r="B753" s="11" t="s">
        <v>1112</v>
      </c>
      <c r="C753" s="12" t="s">
        <v>1763</v>
      </c>
    </row>
    <row r="754" spans="1:3" ht="11.85" customHeight="1" x14ac:dyDescent="0.2">
      <c r="A754" s="11">
        <v>944</v>
      </c>
      <c r="B754" s="11" t="s">
        <v>1113</v>
      </c>
      <c r="C754" s="12" t="s">
        <v>1764</v>
      </c>
    </row>
    <row r="755" spans="1:3" ht="11.85" customHeight="1" x14ac:dyDescent="0.2">
      <c r="A755" s="11">
        <v>980</v>
      </c>
      <c r="B755" s="11" t="s">
        <v>1114</v>
      </c>
      <c r="C755" s="12" t="s">
        <v>1765</v>
      </c>
    </row>
    <row r="756" spans="1:3" ht="11.85" customHeight="1" x14ac:dyDescent="0.2">
      <c r="A756" s="11">
        <v>945</v>
      </c>
      <c r="B756" s="11" t="s">
        <v>1115</v>
      </c>
      <c r="C756" s="12" t="s">
        <v>1766</v>
      </c>
    </row>
    <row r="757" spans="1:3" ht="11.85" customHeight="1" x14ac:dyDescent="0.2">
      <c r="A757" s="11">
        <v>946</v>
      </c>
      <c r="B757" s="11" t="s">
        <v>1116</v>
      </c>
      <c r="C757" s="12" t="s">
        <v>1767</v>
      </c>
    </row>
    <row r="758" spans="1:3" ht="11.85" customHeight="1" x14ac:dyDescent="0.2">
      <c r="A758" s="11">
        <v>947</v>
      </c>
      <c r="B758" s="11" t="s">
        <v>1117</v>
      </c>
      <c r="C758" s="12" t="s">
        <v>1768</v>
      </c>
    </row>
    <row r="759" spans="1:3" ht="11.85" customHeight="1" x14ac:dyDescent="0.2">
      <c r="A759" s="11"/>
      <c r="B759" s="11"/>
    </row>
    <row r="760" spans="1:3" ht="11.85" customHeight="1" x14ac:dyDescent="0.2">
      <c r="A760" s="11"/>
      <c r="B760" s="11"/>
    </row>
    <row r="761" spans="1:3" ht="11.85" customHeight="1" x14ac:dyDescent="0.2">
      <c r="A761" s="11"/>
      <c r="B761" s="11"/>
    </row>
    <row r="762" spans="1:3" ht="11.85" customHeight="1" x14ac:dyDescent="0.2">
      <c r="A762" s="11"/>
      <c r="B762" s="11"/>
    </row>
    <row r="763" spans="1:3" ht="11.85" customHeight="1" x14ac:dyDescent="0.2">
      <c r="A763" s="11"/>
      <c r="B763" s="11"/>
    </row>
    <row r="764" spans="1:3" ht="11.85" customHeight="1" x14ac:dyDescent="0.2">
      <c r="A764" s="11"/>
      <c r="B764" s="11"/>
    </row>
    <row r="765" spans="1:3" ht="11.85" customHeight="1" x14ac:dyDescent="0.2">
      <c r="A765" s="11"/>
      <c r="B765" s="11"/>
    </row>
    <row r="766" spans="1:3" ht="11.85" customHeight="1" x14ac:dyDescent="0.2">
      <c r="A766" s="11"/>
      <c r="B766" s="11"/>
    </row>
    <row r="767" spans="1:3" ht="11.85" customHeight="1" x14ac:dyDescent="0.2">
      <c r="A767" s="11"/>
      <c r="B767" s="11"/>
    </row>
    <row r="768" spans="1:3" ht="11.85" customHeight="1" x14ac:dyDescent="0.2">
      <c r="A768" s="11"/>
      <c r="B768" s="11"/>
    </row>
    <row r="769" spans="1:2" ht="11.85" customHeight="1" x14ac:dyDescent="0.2">
      <c r="A769" s="11"/>
      <c r="B769" s="11"/>
    </row>
    <row r="770" spans="1:2" ht="11.85" customHeight="1" x14ac:dyDescent="0.2">
      <c r="A770" s="11"/>
      <c r="B770" s="11"/>
    </row>
    <row r="771" spans="1:2" ht="11.85" customHeight="1" x14ac:dyDescent="0.2">
      <c r="A771" s="11"/>
      <c r="B771" s="11"/>
    </row>
    <row r="772" spans="1:2" ht="11.85" customHeight="1" x14ac:dyDescent="0.2">
      <c r="A772" s="11"/>
      <c r="B772" s="11"/>
    </row>
    <row r="773" spans="1:2" ht="11.85" customHeight="1" x14ac:dyDescent="0.2">
      <c r="A773" s="11"/>
      <c r="B773" s="11"/>
    </row>
    <row r="774" spans="1:2" ht="11.85" customHeight="1" x14ac:dyDescent="0.2">
      <c r="A774" s="11"/>
      <c r="B774" s="11"/>
    </row>
    <row r="775" spans="1:2" ht="11.85" customHeight="1" x14ac:dyDescent="0.2">
      <c r="A775" s="11"/>
      <c r="B775" s="11"/>
    </row>
    <row r="776" spans="1:2" ht="11.85" customHeight="1" x14ac:dyDescent="0.2">
      <c r="A776" s="11"/>
      <c r="B776" s="11"/>
    </row>
    <row r="777" spans="1:2" ht="11.85" customHeight="1" x14ac:dyDescent="0.2">
      <c r="A777" s="11"/>
      <c r="B777" s="11"/>
    </row>
    <row r="778" spans="1:2" ht="11.85" customHeight="1" x14ac:dyDescent="0.2">
      <c r="A778" s="11"/>
      <c r="B778" s="11"/>
    </row>
    <row r="779" spans="1:2" ht="11.85" customHeight="1" x14ac:dyDescent="0.2">
      <c r="A779" s="11"/>
      <c r="B779" s="11"/>
    </row>
    <row r="780" spans="1:2" ht="11.85" customHeight="1" x14ac:dyDescent="0.2">
      <c r="A780" s="11"/>
      <c r="B780" s="11"/>
    </row>
    <row r="781" spans="1:2" ht="11.85" customHeight="1" x14ac:dyDescent="0.2">
      <c r="A781" s="11"/>
      <c r="B781" s="11"/>
    </row>
    <row r="782" spans="1:2" ht="11.85" customHeight="1" x14ac:dyDescent="0.2">
      <c r="A782" s="11"/>
      <c r="B782" s="11"/>
    </row>
    <row r="783" spans="1:2" ht="11.85" customHeight="1" x14ac:dyDescent="0.2">
      <c r="A783" s="11"/>
      <c r="B783" s="11"/>
    </row>
    <row r="784" spans="1:2" ht="11.85" customHeight="1" x14ac:dyDescent="0.2">
      <c r="A784" s="11"/>
      <c r="B784" s="11"/>
    </row>
    <row r="785" spans="1:2" ht="11.85" customHeight="1" x14ac:dyDescent="0.2">
      <c r="A785" s="11"/>
      <c r="B785" s="11"/>
    </row>
    <row r="786" spans="1:2" ht="11.85" customHeight="1" x14ac:dyDescent="0.2">
      <c r="A786" s="11"/>
      <c r="B786" s="11"/>
    </row>
    <row r="787" spans="1:2" ht="11.85" customHeight="1" x14ac:dyDescent="0.2">
      <c r="A787" s="11"/>
      <c r="B787" s="11"/>
    </row>
    <row r="788" spans="1:2" ht="11.85" customHeight="1" x14ac:dyDescent="0.2">
      <c r="A788" s="11"/>
      <c r="B788" s="11"/>
    </row>
    <row r="789" spans="1:2" ht="11.85" customHeight="1" x14ac:dyDescent="0.2">
      <c r="A789" s="11"/>
      <c r="B789" s="11"/>
    </row>
    <row r="790" spans="1:2" ht="11.85" customHeight="1" x14ac:dyDescent="0.2">
      <c r="A790" s="11"/>
      <c r="B790" s="11"/>
    </row>
    <row r="791" spans="1:2" ht="11.85" customHeight="1" x14ac:dyDescent="0.2">
      <c r="A791" s="11"/>
      <c r="B791" s="11"/>
    </row>
    <row r="792" spans="1:2" ht="11.85" customHeight="1" x14ac:dyDescent="0.2">
      <c r="A792" s="11"/>
      <c r="B792" s="11"/>
    </row>
    <row r="793" spans="1:2" ht="11.85" customHeight="1" x14ac:dyDescent="0.2">
      <c r="A793" s="11"/>
      <c r="B793" s="11"/>
    </row>
    <row r="794" spans="1:2" ht="11.85" customHeight="1" x14ac:dyDescent="0.2">
      <c r="A794" s="11"/>
      <c r="B794" s="11"/>
    </row>
    <row r="795" spans="1:2" ht="11.85" customHeight="1" x14ac:dyDescent="0.2">
      <c r="A795" s="11"/>
      <c r="B795" s="11"/>
    </row>
    <row r="796" spans="1:2" ht="11.85" customHeight="1" x14ac:dyDescent="0.2">
      <c r="A796" s="11"/>
      <c r="B796" s="11"/>
    </row>
    <row r="797" spans="1:2" ht="11.85" customHeight="1" x14ac:dyDescent="0.2">
      <c r="A797" s="11"/>
      <c r="B797" s="11"/>
    </row>
    <row r="798" spans="1:2" ht="11.85" customHeight="1" x14ac:dyDescent="0.2">
      <c r="A798" s="11"/>
      <c r="B798" s="11"/>
    </row>
    <row r="799" spans="1:2" ht="11.85" customHeight="1" x14ac:dyDescent="0.2">
      <c r="A799" s="11"/>
      <c r="B799" s="11"/>
    </row>
    <row r="800" spans="1:2" ht="11.85" customHeight="1" x14ac:dyDescent="0.2">
      <c r="A800" s="11"/>
      <c r="B800" s="11"/>
    </row>
    <row r="801" spans="1:2" ht="11.85" customHeight="1" x14ac:dyDescent="0.2">
      <c r="A801" s="11"/>
      <c r="B801" s="11"/>
    </row>
    <row r="802" spans="1:2" ht="11.85" customHeight="1" x14ac:dyDescent="0.2">
      <c r="A802" s="11"/>
      <c r="B802" s="11"/>
    </row>
    <row r="803" spans="1:2" ht="11.85" customHeight="1" x14ac:dyDescent="0.2">
      <c r="A803" s="11"/>
      <c r="B803" s="11"/>
    </row>
    <row r="804" spans="1:2" ht="11.85" customHeight="1" x14ac:dyDescent="0.2">
      <c r="A804" s="11"/>
      <c r="B804" s="11"/>
    </row>
    <row r="805" spans="1:2" ht="11.85" customHeight="1" x14ac:dyDescent="0.2">
      <c r="A805" s="11"/>
      <c r="B805" s="11"/>
    </row>
    <row r="806" spans="1:2" ht="11.85" customHeight="1" x14ac:dyDescent="0.2">
      <c r="A806" s="11"/>
      <c r="B806" s="11"/>
    </row>
    <row r="807" spans="1:2" ht="11.85" customHeight="1" x14ac:dyDescent="0.2">
      <c r="A807" s="11"/>
      <c r="B807" s="11"/>
    </row>
    <row r="808" spans="1:2" ht="11.85" customHeight="1" x14ac:dyDescent="0.2">
      <c r="A808" s="11"/>
      <c r="B808" s="11"/>
    </row>
    <row r="809" spans="1:2" ht="11.85" customHeight="1" x14ac:dyDescent="0.2">
      <c r="A809" s="11"/>
      <c r="B809" s="11"/>
    </row>
    <row r="810" spans="1:2" ht="11.85" customHeight="1" x14ac:dyDescent="0.2">
      <c r="A810" s="11"/>
      <c r="B810" s="11"/>
    </row>
    <row r="811" spans="1:2" ht="11.85" customHeight="1" x14ac:dyDescent="0.2">
      <c r="A811" s="11"/>
      <c r="B811" s="11"/>
    </row>
    <row r="812" spans="1:2" ht="11.85" customHeight="1" x14ac:dyDescent="0.2">
      <c r="A812" s="11"/>
      <c r="B812" s="11"/>
    </row>
    <row r="813" spans="1:2" ht="11.85" customHeight="1" x14ac:dyDescent="0.2">
      <c r="A813" s="11"/>
      <c r="B813" s="11"/>
    </row>
    <row r="814" spans="1:2" ht="11.85" customHeight="1" x14ac:dyDescent="0.2">
      <c r="A814" s="11"/>
      <c r="B814" s="11"/>
    </row>
    <row r="815" spans="1:2" ht="11.85" customHeight="1" x14ac:dyDescent="0.2">
      <c r="A815" s="11"/>
      <c r="B815" s="11"/>
    </row>
    <row r="816" spans="1:2" ht="11.85" customHeight="1" x14ac:dyDescent="0.2">
      <c r="A816" s="11"/>
      <c r="B816" s="11"/>
    </row>
    <row r="817" spans="1:2" ht="11.85" customHeight="1" x14ac:dyDescent="0.2">
      <c r="A817" s="11"/>
      <c r="B817" s="11"/>
    </row>
    <row r="818" spans="1:2" ht="11.85" customHeight="1" x14ac:dyDescent="0.2">
      <c r="A818" s="11"/>
      <c r="B818" s="11"/>
    </row>
    <row r="819" spans="1:2" ht="11.85" customHeight="1" x14ac:dyDescent="0.2">
      <c r="A819" s="11"/>
      <c r="B819" s="11"/>
    </row>
    <row r="820" spans="1:2" ht="11.85" customHeight="1" x14ac:dyDescent="0.2">
      <c r="A820" s="11"/>
      <c r="B820" s="11"/>
    </row>
    <row r="821" spans="1:2" ht="11.85" customHeight="1" x14ac:dyDescent="0.2">
      <c r="A821" s="11"/>
      <c r="B821" s="11"/>
    </row>
    <row r="822" spans="1:2" ht="11.85" customHeight="1" x14ac:dyDescent="0.2">
      <c r="A822" s="11"/>
      <c r="B822" s="11"/>
    </row>
    <row r="823" spans="1:2" ht="11.85" customHeight="1" x14ac:dyDescent="0.2">
      <c r="A823" s="11"/>
      <c r="B823" s="11"/>
    </row>
    <row r="824" spans="1:2" ht="11.85" customHeight="1" x14ac:dyDescent="0.2">
      <c r="A824" s="11"/>
      <c r="B824" s="11"/>
    </row>
    <row r="825" spans="1:2" ht="11.85" customHeight="1" x14ac:dyDescent="0.2">
      <c r="A825" s="11"/>
      <c r="B825" s="11"/>
    </row>
    <row r="826" spans="1:2" ht="11.85" customHeight="1" x14ac:dyDescent="0.2">
      <c r="A826" s="11"/>
      <c r="B826" s="11"/>
    </row>
    <row r="827" spans="1:2" ht="11.85" customHeight="1" x14ac:dyDescent="0.2">
      <c r="A827" s="11"/>
      <c r="B827" s="11"/>
    </row>
    <row r="828" spans="1:2" ht="11.85" customHeight="1" x14ac:dyDescent="0.2">
      <c r="A828" s="11"/>
      <c r="B828" s="11"/>
    </row>
    <row r="829" spans="1:2" ht="11.85" customHeight="1" x14ac:dyDescent="0.2">
      <c r="A829" s="11"/>
      <c r="B829" s="11"/>
    </row>
    <row r="830" spans="1:2" ht="11.85" customHeight="1" x14ac:dyDescent="0.2">
      <c r="A830" s="11"/>
      <c r="B830" s="11"/>
    </row>
    <row r="831" spans="1:2" ht="11.85" customHeight="1" x14ac:dyDescent="0.2">
      <c r="A831" s="11"/>
      <c r="B831" s="11"/>
    </row>
    <row r="832" spans="1:2" ht="11.85" customHeight="1" x14ac:dyDescent="0.2">
      <c r="A832" s="11"/>
      <c r="B832" s="11"/>
    </row>
    <row r="833" spans="1:2" ht="11.85" customHeight="1" x14ac:dyDescent="0.2">
      <c r="A833" s="11"/>
      <c r="B833" s="11"/>
    </row>
    <row r="834" spans="1:2" ht="11.85" customHeight="1" x14ac:dyDescent="0.2">
      <c r="A834" s="11"/>
      <c r="B834" s="11"/>
    </row>
    <row r="835" spans="1:2" ht="11.85" customHeight="1" x14ac:dyDescent="0.2">
      <c r="A835" s="11"/>
      <c r="B835" s="11"/>
    </row>
    <row r="836" spans="1:2" ht="11.85" customHeight="1" x14ac:dyDescent="0.2">
      <c r="A836" s="11"/>
      <c r="B836" s="11"/>
    </row>
    <row r="837" spans="1:2" ht="11.85" customHeight="1" x14ac:dyDescent="0.2">
      <c r="A837" s="11"/>
      <c r="B837" s="11"/>
    </row>
    <row r="838" spans="1:2" ht="11.85" customHeight="1" x14ac:dyDescent="0.2">
      <c r="A838" s="11"/>
      <c r="B838" s="11"/>
    </row>
    <row r="839" spans="1:2" ht="11.85" customHeight="1" x14ac:dyDescent="0.2">
      <c r="A839" s="11"/>
      <c r="B839" s="11"/>
    </row>
    <row r="840" spans="1:2" ht="11.85" customHeight="1" x14ac:dyDescent="0.2">
      <c r="A840" s="11"/>
      <c r="B840" s="11"/>
    </row>
    <row r="841" spans="1:2" ht="11.85" customHeight="1" x14ac:dyDescent="0.2">
      <c r="A841" s="11"/>
      <c r="B841" s="11"/>
    </row>
    <row r="842" spans="1:2" ht="11.85" customHeight="1" x14ac:dyDescent="0.2">
      <c r="A842" s="11"/>
      <c r="B842" s="11"/>
    </row>
    <row r="843" spans="1:2" ht="11.85" customHeight="1" x14ac:dyDescent="0.2">
      <c r="A843" s="11"/>
      <c r="B843" s="11"/>
    </row>
    <row r="844" spans="1:2" ht="11.85" customHeight="1" x14ac:dyDescent="0.2">
      <c r="A844" s="11"/>
      <c r="B844" s="11"/>
    </row>
    <row r="845" spans="1:2" ht="11.85" customHeight="1" x14ac:dyDescent="0.2">
      <c r="A845" s="11"/>
      <c r="B845" s="11"/>
    </row>
    <row r="846" spans="1:2" ht="11.85" customHeight="1" x14ac:dyDescent="0.2">
      <c r="A846" s="11"/>
      <c r="B846" s="11"/>
    </row>
    <row r="847" spans="1:2" ht="11.85" customHeight="1" x14ac:dyDescent="0.2">
      <c r="A847" s="11"/>
      <c r="B847" s="11"/>
    </row>
    <row r="848" spans="1:2" ht="11.85" customHeight="1" x14ac:dyDescent="0.2">
      <c r="A848" s="11"/>
      <c r="B848" s="11"/>
    </row>
    <row r="849" spans="1:2" ht="11.85" customHeight="1" x14ac:dyDescent="0.2">
      <c r="A849" s="11"/>
      <c r="B849" s="11"/>
    </row>
    <row r="850" spans="1:2" ht="11.85" customHeight="1" x14ac:dyDescent="0.2">
      <c r="A850" s="11"/>
      <c r="B850" s="11"/>
    </row>
    <row r="851" spans="1:2" ht="11.85" customHeight="1" x14ac:dyDescent="0.2">
      <c r="A851" s="11"/>
      <c r="B851" s="11"/>
    </row>
    <row r="852" spans="1:2" ht="11.85" customHeight="1" x14ac:dyDescent="0.2">
      <c r="A852" s="11"/>
      <c r="B852" s="11"/>
    </row>
    <row r="853" spans="1:2" ht="11.85" customHeight="1" x14ac:dyDescent="0.2">
      <c r="A853" s="11"/>
      <c r="B853" s="11"/>
    </row>
    <row r="854" spans="1:2" ht="11.85" customHeight="1" x14ac:dyDescent="0.2">
      <c r="A854" s="11"/>
      <c r="B854" s="11"/>
    </row>
    <row r="855" spans="1:2" ht="11.85" customHeight="1" x14ac:dyDescent="0.2">
      <c r="A855" s="11"/>
      <c r="B855" s="11"/>
    </row>
    <row r="856" spans="1:2" ht="11.85" customHeight="1" x14ac:dyDescent="0.2">
      <c r="A856" s="11"/>
      <c r="B856" s="11"/>
    </row>
    <row r="857" spans="1:2" ht="11.85" customHeight="1" x14ac:dyDescent="0.2">
      <c r="A857" s="11"/>
      <c r="B857" s="11"/>
    </row>
    <row r="858" spans="1:2" ht="11.85" customHeight="1" x14ac:dyDescent="0.2">
      <c r="A858" s="11"/>
      <c r="B858" s="11"/>
    </row>
    <row r="859" spans="1:2" ht="11.85" customHeight="1" x14ac:dyDescent="0.2">
      <c r="A859" s="11"/>
      <c r="B859" s="11"/>
    </row>
    <row r="860" spans="1:2" ht="11.85" customHeight="1" x14ac:dyDescent="0.2">
      <c r="A860" s="11"/>
      <c r="B860" s="11"/>
    </row>
    <row r="861" spans="1:2" ht="11.85" customHeight="1" x14ac:dyDescent="0.2">
      <c r="A861" s="11"/>
      <c r="B861" s="11"/>
    </row>
    <row r="862" spans="1:2" ht="11.85" customHeight="1" x14ac:dyDescent="0.2">
      <c r="A862" s="11"/>
      <c r="B862" s="11"/>
    </row>
    <row r="863" spans="1:2" ht="11.85" customHeight="1" x14ac:dyDescent="0.2">
      <c r="A863" s="11"/>
      <c r="B863" s="11"/>
    </row>
    <row r="864" spans="1:2" ht="11.85" customHeight="1" x14ac:dyDescent="0.2">
      <c r="A864" s="11"/>
      <c r="B864" s="11"/>
    </row>
    <row r="865" spans="1:2" ht="11.85" customHeight="1" x14ac:dyDescent="0.2">
      <c r="A865" s="11"/>
      <c r="B865" s="11"/>
    </row>
    <row r="866" spans="1:2" ht="11.85" customHeight="1" x14ac:dyDescent="0.2">
      <c r="A866" s="11"/>
      <c r="B866" s="11"/>
    </row>
    <row r="867" spans="1:2" ht="11.85" customHeight="1" x14ac:dyDescent="0.2">
      <c r="A867" s="11"/>
      <c r="B867" s="11"/>
    </row>
    <row r="868" spans="1:2" ht="11.85" customHeight="1" x14ac:dyDescent="0.2">
      <c r="A868" s="11"/>
      <c r="B868" s="11"/>
    </row>
    <row r="869" spans="1:2" ht="11.85" customHeight="1" x14ac:dyDescent="0.2">
      <c r="A869" s="11"/>
      <c r="B869" s="11"/>
    </row>
    <row r="870" spans="1:2" ht="11.85" customHeight="1" x14ac:dyDescent="0.2">
      <c r="A870" s="11"/>
      <c r="B870" s="11"/>
    </row>
    <row r="871" spans="1:2" ht="11.85" customHeight="1" x14ac:dyDescent="0.2">
      <c r="A871" s="11"/>
      <c r="B871" s="11"/>
    </row>
    <row r="872" spans="1:2" ht="11.85" customHeight="1" x14ac:dyDescent="0.2">
      <c r="A872" s="11"/>
      <c r="B872" s="11"/>
    </row>
    <row r="873" spans="1:2" ht="11.85" customHeight="1" x14ac:dyDescent="0.2">
      <c r="A873" s="11"/>
      <c r="B873" s="11"/>
    </row>
    <row r="874" spans="1:2" ht="11.85" customHeight="1" x14ac:dyDescent="0.2">
      <c r="A874" s="11"/>
      <c r="B874" s="11"/>
    </row>
    <row r="875" spans="1:2" ht="11.85" customHeight="1" x14ac:dyDescent="0.2">
      <c r="A875" s="11"/>
      <c r="B875" s="11"/>
    </row>
    <row r="876" spans="1:2" ht="11.85" customHeight="1" x14ac:dyDescent="0.2">
      <c r="A876" s="11"/>
      <c r="B876" s="11"/>
    </row>
    <row r="877" spans="1:2" ht="11.85" customHeight="1" x14ac:dyDescent="0.2">
      <c r="A877" s="11"/>
      <c r="B877" s="11"/>
    </row>
    <row r="878" spans="1:2" ht="11.85" customHeight="1" x14ac:dyDescent="0.2">
      <c r="A878" s="11"/>
      <c r="B878" s="11"/>
    </row>
    <row r="879" spans="1:2" ht="11.85" customHeight="1" x14ac:dyDescent="0.2">
      <c r="A879" s="11"/>
      <c r="B879" s="11"/>
    </row>
    <row r="880" spans="1:2" ht="11.85" customHeight="1" x14ac:dyDescent="0.2">
      <c r="A880" s="11"/>
      <c r="B880" s="11"/>
    </row>
    <row r="881" spans="1:2" ht="11.85" customHeight="1" x14ac:dyDescent="0.2">
      <c r="A881" s="11"/>
      <c r="B881" s="11"/>
    </row>
    <row r="882" spans="1:2" ht="11.85" customHeight="1" x14ac:dyDescent="0.2">
      <c r="A882" s="11"/>
      <c r="B882" s="11"/>
    </row>
    <row r="883" spans="1:2" ht="11.85" customHeight="1" x14ac:dyDescent="0.2">
      <c r="A883" s="11"/>
      <c r="B883" s="11"/>
    </row>
    <row r="884" spans="1:2" ht="11.85" customHeight="1" x14ac:dyDescent="0.2">
      <c r="A884" s="11"/>
      <c r="B884" s="11"/>
    </row>
    <row r="885" spans="1:2" ht="11.85" customHeight="1" x14ac:dyDescent="0.2">
      <c r="A885" s="11"/>
      <c r="B885" s="11"/>
    </row>
    <row r="886" spans="1:2" ht="11.85" customHeight="1" x14ac:dyDescent="0.2">
      <c r="A886" s="11"/>
      <c r="B886" s="11"/>
    </row>
    <row r="887" spans="1:2" ht="11.85" customHeight="1" x14ac:dyDescent="0.2">
      <c r="A887" s="11"/>
      <c r="B887" s="11"/>
    </row>
    <row r="888" spans="1:2" ht="11.85" customHeight="1" x14ac:dyDescent="0.2">
      <c r="A888" s="11"/>
      <c r="B888" s="11"/>
    </row>
    <row r="889" spans="1:2" ht="11.85" customHeight="1" x14ac:dyDescent="0.2">
      <c r="A889" s="11"/>
      <c r="B889" s="11"/>
    </row>
    <row r="890" spans="1:2" ht="11.85" customHeight="1" x14ac:dyDescent="0.2">
      <c r="A890" s="11"/>
      <c r="B890" s="11"/>
    </row>
    <row r="891" spans="1:2" ht="11.85" customHeight="1" x14ac:dyDescent="0.2">
      <c r="A891" s="11"/>
      <c r="B891" s="11"/>
    </row>
    <row r="892" spans="1:2" ht="11.85" customHeight="1" x14ac:dyDescent="0.2">
      <c r="A892" s="11"/>
      <c r="B892" s="11"/>
    </row>
    <row r="893" spans="1:2" ht="11.85" customHeight="1" x14ac:dyDescent="0.2">
      <c r="A893" s="11"/>
      <c r="B893" s="11"/>
    </row>
    <row r="894" spans="1:2" ht="11.85" customHeight="1" x14ac:dyDescent="0.2">
      <c r="A894" s="11"/>
      <c r="B894" s="11"/>
    </row>
    <row r="895" spans="1:2" ht="11.85" customHeight="1" x14ac:dyDescent="0.2">
      <c r="A895" s="11"/>
      <c r="B895" s="11"/>
    </row>
    <row r="896" spans="1:2" ht="11.85" customHeight="1" x14ac:dyDescent="0.2">
      <c r="A896" s="11"/>
      <c r="B896" s="11"/>
    </row>
    <row r="897" spans="1:2" ht="11.85" customHeight="1" x14ac:dyDescent="0.2">
      <c r="A897" s="11"/>
      <c r="B897" s="11"/>
    </row>
    <row r="898" spans="1:2" ht="11.85" customHeight="1" x14ac:dyDescent="0.2">
      <c r="A898" s="11"/>
      <c r="B898" s="11"/>
    </row>
    <row r="899" spans="1:2" ht="11.85" customHeight="1" x14ac:dyDescent="0.2">
      <c r="A899" s="11"/>
      <c r="B899" s="11"/>
    </row>
    <row r="900" spans="1:2" ht="11.85" customHeight="1" x14ac:dyDescent="0.2">
      <c r="A900" s="11"/>
      <c r="B900" s="11"/>
    </row>
    <row r="901" spans="1:2" ht="11.85" customHeight="1" x14ac:dyDescent="0.2">
      <c r="A901" s="11"/>
      <c r="B901" s="11"/>
    </row>
    <row r="902" spans="1:2" ht="11.85" customHeight="1" x14ac:dyDescent="0.2">
      <c r="A902" s="11"/>
      <c r="B902" s="11"/>
    </row>
    <row r="903" spans="1:2" ht="11.85" customHeight="1" x14ac:dyDescent="0.2">
      <c r="A903" s="11"/>
      <c r="B903" s="11"/>
    </row>
    <row r="904" spans="1:2" ht="11.85" customHeight="1" x14ac:dyDescent="0.2">
      <c r="A904" s="11"/>
      <c r="B904" s="11"/>
    </row>
    <row r="905" spans="1:2" ht="11.85" customHeight="1" x14ac:dyDescent="0.2">
      <c r="A905" s="11"/>
      <c r="B905" s="11"/>
    </row>
    <row r="906" spans="1:2" ht="11.85" customHeight="1" x14ac:dyDescent="0.2">
      <c r="A906" s="11"/>
      <c r="B906" s="11"/>
    </row>
    <row r="907" spans="1:2" ht="11.85" customHeight="1" x14ac:dyDescent="0.2">
      <c r="A907" s="11"/>
      <c r="B907" s="11"/>
    </row>
    <row r="908" spans="1:2" ht="11.85" customHeight="1" x14ac:dyDescent="0.2">
      <c r="A908" s="11"/>
      <c r="B908" s="11"/>
    </row>
    <row r="909" spans="1:2" ht="11.85" customHeight="1" x14ac:dyDescent="0.2">
      <c r="A909" s="11"/>
      <c r="B909" s="11"/>
    </row>
    <row r="910" spans="1:2" ht="11.85" customHeight="1" x14ac:dyDescent="0.2">
      <c r="A910" s="11"/>
      <c r="B910" s="11"/>
    </row>
    <row r="911" spans="1:2" ht="11.85" customHeight="1" x14ac:dyDescent="0.2">
      <c r="A911" s="11"/>
      <c r="B911" s="11"/>
    </row>
    <row r="912" spans="1:2" ht="11.85" customHeight="1" x14ac:dyDescent="0.2">
      <c r="A912" s="11"/>
      <c r="B912" s="11"/>
    </row>
    <row r="913" spans="1:2" ht="11.85" customHeight="1" x14ac:dyDescent="0.2">
      <c r="A913" s="11"/>
      <c r="B913" s="11"/>
    </row>
    <row r="914" spans="1:2" ht="11.85" customHeight="1" x14ac:dyDescent="0.2">
      <c r="A914" s="11"/>
      <c r="B914" s="11"/>
    </row>
    <row r="915" spans="1:2" ht="11.85" customHeight="1" x14ac:dyDescent="0.2">
      <c r="A915" s="11"/>
      <c r="B915" s="11"/>
    </row>
    <row r="916" spans="1:2" ht="11.85" customHeight="1" x14ac:dyDescent="0.2">
      <c r="A916" s="11"/>
      <c r="B916" s="11"/>
    </row>
    <row r="917" spans="1:2" ht="11.85" customHeight="1" x14ac:dyDescent="0.2">
      <c r="A917" s="11"/>
      <c r="B917" s="11"/>
    </row>
    <row r="918" spans="1:2" ht="11.85" customHeight="1" x14ac:dyDescent="0.2">
      <c r="A918" s="11"/>
      <c r="B918" s="11"/>
    </row>
    <row r="919" spans="1:2" ht="11.85" customHeight="1" x14ac:dyDescent="0.2">
      <c r="A919" s="11"/>
      <c r="B919" s="11"/>
    </row>
    <row r="920" spans="1:2" ht="11.85" customHeight="1" x14ac:dyDescent="0.2">
      <c r="A920" s="11"/>
      <c r="B920" s="11"/>
    </row>
    <row r="921" spans="1:2" ht="11.85" customHeight="1" x14ac:dyDescent="0.2">
      <c r="A921" s="11"/>
      <c r="B921" s="11"/>
    </row>
    <row r="922" spans="1:2" ht="11.85" customHeight="1" x14ac:dyDescent="0.2">
      <c r="A922" s="11"/>
      <c r="B922" s="11"/>
    </row>
    <row r="923" spans="1:2" ht="11.85" customHeight="1" x14ac:dyDescent="0.2">
      <c r="A923" s="11"/>
      <c r="B923" s="11"/>
    </row>
    <row r="924" spans="1:2" ht="11.85" customHeight="1" x14ac:dyDescent="0.2">
      <c r="A924" s="11"/>
      <c r="B924" s="11"/>
    </row>
    <row r="925" spans="1:2" ht="11.85" customHeight="1" x14ac:dyDescent="0.2">
      <c r="A925" s="11"/>
      <c r="B925" s="11"/>
    </row>
    <row r="926" spans="1:2" ht="11.85" customHeight="1" x14ac:dyDescent="0.2">
      <c r="A926" s="11"/>
      <c r="B926" s="11"/>
    </row>
    <row r="927" spans="1:2" ht="11.85" customHeight="1" x14ac:dyDescent="0.2">
      <c r="A927" s="11"/>
      <c r="B927" s="11"/>
    </row>
    <row r="928" spans="1:2" ht="11.85" customHeight="1" x14ac:dyDescent="0.2">
      <c r="A928" s="11"/>
      <c r="B928" s="11"/>
    </row>
    <row r="929" spans="1:3" ht="11.85" customHeight="1" x14ac:dyDescent="0.2">
      <c r="A929" s="11"/>
      <c r="B929" s="11"/>
    </row>
    <row r="930" spans="1:3" ht="11.85" customHeight="1" x14ac:dyDescent="0.2">
      <c r="A930" s="11"/>
      <c r="B930" s="11"/>
    </row>
    <row r="931" spans="1:3" ht="11.85" customHeight="1" x14ac:dyDescent="0.2">
      <c r="A931" s="11"/>
      <c r="B931" s="11"/>
    </row>
    <row r="932" spans="1:3" ht="11.85" customHeight="1" x14ac:dyDescent="0.2">
      <c r="A932" s="11"/>
      <c r="B932" s="11"/>
    </row>
    <row r="933" spans="1:3" ht="11.85" customHeight="1" x14ac:dyDescent="0.2">
      <c r="A933" s="11"/>
      <c r="B933" s="11"/>
    </row>
    <row r="934" spans="1:3" ht="11.85" customHeight="1" x14ac:dyDescent="0.2">
      <c r="A934" s="11"/>
      <c r="B934" s="11"/>
    </row>
    <row r="935" spans="1:3" ht="12.6" customHeight="1" x14ac:dyDescent="0.2"/>
    <row r="936" spans="1:3" ht="11.85" customHeight="1" x14ac:dyDescent="0.2">
      <c r="A936" s="11"/>
      <c r="B936" s="11"/>
      <c r="C936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B123"/>
  <sheetViews>
    <sheetView workbookViewId="0">
      <selection activeCell="B2" sqref="B2"/>
    </sheetView>
  </sheetViews>
  <sheetFormatPr defaultRowHeight="15" x14ac:dyDescent="0.25"/>
  <cols>
    <col min="2" max="2" width="75.28515625" bestFit="1" customWidth="1"/>
  </cols>
  <sheetData>
    <row r="2" spans="1:2" x14ac:dyDescent="0.25">
      <c r="A2" t="s">
        <v>1909</v>
      </c>
      <c r="B2" t="s">
        <v>12</v>
      </c>
    </row>
    <row r="3" spans="1:2" x14ac:dyDescent="0.25">
      <c r="A3">
        <v>1</v>
      </c>
      <c r="B3" t="s">
        <v>1779</v>
      </c>
    </row>
    <row r="4" spans="1:2" x14ac:dyDescent="0.25">
      <c r="A4">
        <v>2</v>
      </c>
      <c r="B4" t="s">
        <v>1780</v>
      </c>
    </row>
    <row r="5" spans="1:2" x14ac:dyDescent="0.25">
      <c r="A5">
        <v>3</v>
      </c>
      <c r="B5" t="s">
        <v>1781</v>
      </c>
    </row>
    <row r="6" spans="1:2" x14ac:dyDescent="0.25">
      <c r="A6">
        <v>4</v>
      </c>
      <c r="B6" t="s">
        <v>1782</v>
      </c>
    </row>
    <row r="7" spans="1:2" x14ac:dyDescent="0.25">
      <c r="A7">
        <v>5</v>
      </c>
      <c r="B7" t="s">
        <v>1783</v>
      </c>
    </row>
    <row r="8" spans="1:2" x14ac:dyDescent="0.25">
      <c r="A8">
        <v>6</v>
      </c>
      <c r="B8" t="s">
        <v>1784</v>
      </c>
    </row>
    <row r="9" spans="1:2" x14ac:dyDescent="0.25">
      <c r="A9">
        <v>7</v>
      </c>
      <c r="B9" t="s">
        <v>1785</v>
      </c>
    </row>
    <row r="10" spans="1:2" x14ac:dyDescent="0.25">
      <c r="A10">
        <v>8</v>
      </c>
      <c r="B10" t="s">
        <v>1786</v>
      </c>
    </row>
    <row r="11" spans="1:2" x14ac:dyDescent="0.25">
      <c r="A11">
        <v>9</v>
      </c>
      <c r="B11" t="s">
        <v>1787</v>
      </c>
    </row>
    <row r="12" spans="1:2" x14ac:dyDescent="0.25">
      <c r="A12">
        <v>10</v>
      </c>
      <c r="B12" t="s">
        <v>1788</v>
      </c>
    </row>
    <row r="13" spans="1:2" x14ac:dyDescent="0.25">
      <c r="A13">
        <v>11</v>
      </c>
      <c r="B13" t="s">
        <v>1789</v>
      </c>
    </row>
    <row r="14" spans="1:2" x14ac:dyDescent="0.25">
      <c r="A14">
        <v>12</v>
      </c>
      <c r="B14" t="s">
        <v>1790</v>
      </c>
    </row>
    <row r="15" spans="1:2" x14ac:dyDescent="0.25">
      <c r="A15">
        <v>13</v>
      </c>
      <c r="B15" t="s">
        <v>1791</v>
      </c>
    </row>
    <row r="16" spans="1:2" x14ac:dyDescent="0.25">
      <c r="A16">
        <v>14</v>
      </c>
      <c r="B16" t="s">
        <v>1792</v>
      </c>
    </row>
    <row r="17" spans="1:2" x14ac:dyDescent="0.25">
      <c r="A17">
        <v>15</v>
      </c>
      <c r="B17" t="s">
        <v>23</v>
      </c>
    </row>
    <row r="18" spans="1:2" x14ac:dyDescent="0.25">
      <c r="A18">
        <v>16</v>
      </c>
      <c r="B18" t="s">
        <v>1793</v>
      </c>
    </row>
    <row r="19" spans="1:2" x14ac:dyDescent="0.25">
      <c r="A19">
        <v>17</v>
      </c>
      <c r="B19" t="s">
        <v>1794</v>
      </c>
    </row>
    <row r="20" spans="1:2" x14ac:dyDescent="0.25">
      <c r="A20">
        <v>18</v>
      </c>
      <c r="B20" t="s">
        <v>1795</v>
      </c>
    </row>
    <row r="21" spans="1:2" x14ac:dyDescent="0.25">
      <c r="A21">
        <v>19</v>
      </c>
      <c r="B21" t="s">
        <v>1796</v>
      </c>
    </row>
    <row r="22" spans="1:2" x14ac:dyDescent="0.25">
      <c r="A22">
        <v>20</v>
      </c>
      <c r="B22" t="s">
        <v>1797</v>
      </c>
    </row>
    <row r="23" spans="1:2" x14ac:dyDescent="0.25">
      <c r="A23">
        <v>21</v>
      </c>
      <c r="B23" t="s">
        <v>1798</v>
      </c>
    </row>
    <row r="24" spans="1:2" x14ac:dyDescent="0.25">
      <c r="A24">
        <v>22</v>
      </c>
      <c r="B24" t="s">
        <v>1799</v>
      </c>
    </row>
    <row r="25" spans="1:2" x14ac:dyDescent="0.25">
      <c r="A25">
        <v>23</v>
      </c>
      <c r="B25" t="s">
        <v>1800</v>
      </c>
    </row>
    <row r="26" spans="1:2" x14ac:dyDescent="0.25">
      <c r="A26">
        <v>24</v>
      </c>
      <c r="B26" t="s">
        <v>24</v>
      </c>
    </row>
    <row r="27" spans="1:2" x14ac:dyDescent="0.25">
      <c r="A27">
        <v>25</v>
      </c>
      <c r="B27" t="s">
        <v>1801</v>
      </c>
    </row>
    <row r="28" spans="1:2" x14ac:dyDescent="0.25">
      <c r="A28">
        <v>26</v>
      </c>
      <c r="B28" t="s">
        <v>1802</v>
      </c>
    </row>
    <row r="29" spans="1:2" x14ac:dyDescent="0.25">
      <c r="A29">
        <v>27</v>
      </c>
      <c r="B29" t="s">
        <v>1803</v>
      </c>
    </row>
    <row r="30" spans="1:2" x14ac:dyDescent="0.25">
      <c r="A30">
        <v>28</v>
      </c>
      <c r="B30" t="s">
        <v>1804</v>
      </c>
    </row>
    <row r="31" spans="1:2" x14ac:dyDescent="0.25">
      <c r="A31">
        <v>29</v>
      </c>
      <c r="B31" t="s">
        <v>1805</v>
      </c>
    </row>
    <row r="32" spans="1:2" x14ac:dyDescent="0.25">
      <c r="A32">
        <v>30</v>
      </c>
      <c r="B32" t="s">
        <v>1806</v>
      </c>
    </row>
    <row r="33" spans="1:2" x14ac:dyDescent="0.25">
      <c r="A33">
        <v>31</v>
      </c>
      <c r="B33" t="s">
        <v>1807</v>
      </c>
    </row>
    <row r="34" spans="1:2" x14ac:dyDescent="0.25">
      <c r="A34">
        <v>32</v>
      </c>
      <c r="B34" t="s">
        <v>1808</v>
      </c>
    </row>
    <row r="35" spans="1:2" x14ac:dyDescent="0.25">
      <c r="A35">
        <v>33</v>
      </c>
      <c r="B35" t="s">
        <v>1809</v>
      </c>
    </row>
    <row r="36" spans="1:2" x14ac:dyDescent="0.25">
      <c r="A36">
        <v>34</v>
      </c>
      <c r="B36" t="s">
        <v>1810</v>
      </c>
    </row>
    <row r="37" spans="1:2" x14ac:dyDescent="0.25">
      <c r="A37">
        <v>35</v>
      </c>
      <c r="B37" t="s">
        <v>1811</v>
      </c>
    </row>
    <row r="38" spans="1:2" x14ac:dyDescent="0.25">
      <c r="A38">
        <v>36</v>
      </c>
      <c r="B38" t="s">
        <v>1812</v>
      </c>
    </row>
    <row r="39" spans="1:2" x14ac:dyDescent="0.25">
      <c r="A39">
        <v>37</v>
      </c>
      <c r="B39" t="s">
        <v>1813</v>
      </c>
    </row>
    <row r="40" spans="1:2" x14ac:dyDescent="0.25">
      <c r="A40">
        <v>38</v>
      </c>
      <c r="B40" t="s">
        <v>1814</v>
      </c>
    </row>
    <row r="41" spans="1:2" x14ac:dyDescent="0.25">
      <c r="A41">
        <v>39</v>
      </c>
      <c r="B41" t="s">
        <v>1815</v>
      </c>
    </row>
    <row r="42" spans="1:2" x14ac:dyDescent="0.25">
      <c r="A42">
        <v>40</v>
      </c>
      <c r="B42" t="s">
        <v>1816</v>
      </c>
    </row>
    <row r="43" spans="1:2" x14ac:dyDescent="0.25">
      <c r="A43">
        <v>41</v>
      </c>
      <c r="B43" t="s">
        <v>1817</v>
      </c>
    </row>
    <row r="44" spans="1:2" x14ac:dyDescent="0.25">
      <c r="A44">
        <v>42</v>
      </c>
      <c r="B44" t="s">
        <v>1818</v>
      </c>
    </row>
    <row r="45" spans="1:2" x14ac:dyDescent="0.25">
      <c r="A45">
        <v>43</v>
      </c>
      <c r="B45" t="s">
        <v>1819</v>
      </c>
    </row>
    <row r="46" spans="1:2" x14ac:dyDescent="0.25">
      <c r="A46">
        <v>44</v>
      </c>
      <c r="B46" t="s">
        <v>1820</v>
      </c>
    </row>
    <row r="47" spans="1:2" x14ac:dyDescent="0.25">
      <c r="A47">
        <v>45</v>
      </c>
      <c r="B47" t="s">
        <v>1821</v>
      </c>
    </row>
    <row r="48" spans="1:2" x14ac:dyDescent="0.25">
      <c r="A48">
        <v>46</v>
      </c>
      <c r="B48" t="s">
        <v>1822</v>
      </c>
    </row>
    <row r="49" spans="1:2" x14ac:dyDescent="0.25">
      <c r="A49">
        <v>47</v>
      </c>
      <c r="B49" t="s">
        <v>1823</v>
      </c>
    </row>
    <row r="50" spans="1:2" x14ac:dyDescent="0.25">
      <c r="A50">
        <v>48</v>
      </c>
      <c r="B50" t="s">
        <v>1824</v>
      </c>
    </row>
    <row r="51" spans="1:2" x14ac:dyDescent="0.25">
      <c r="A51">
        <v>49</v>
      </c>
      <c r="B51" t="s">
        <v>1825</v>
      </c>
    </row>
    <row r="52" spans="1:2" x14ac:dyDescent="0.25">
      <c r="A52">
        <v>50</v>
      </c>
      <c r="B52" t="s">
        <v>1826</v>
      </c>
    </row>
    <row r="53" spans="1:2" x14ac:dyDescent="0.25">
      <c r="A53">
        <v>51</v>
      </c>
      <c r="B53" t="s">
        <v>1827</v>
      </c>
    </row>
    <row r="54" spans="1:2" x14ac:dyDescent="0.25">
      <c r="A54">
        <v>52</v>
      </c>
      <c r="B54" t="s">
        <v>1828</v>
      </c>
    </row>
    <row r="55" spans="1:2" x14ac:dyDescent="0.25">
      <c r="A55">
        <v>53</v>
      </c>
      <c r="B55" t="s">
        <v>1829</v>
      </c>
    </row>
    <row r="56" spans="1:2" x14ac:dyDescent="0.25">
      <c r="A56">
        <v>54</v>
      </c>
      <c r="B56" t="s">
        <v>1830</v>
      </c>
    </row>
    <row r="57" spans="1:2" x14ac:dyDescent="0.25">
      <c r="A57">
        <v>55</v>
      </c>
      <c r="B57" t="s">
        <v>1831</v>
      </c>
    </row>
    <row r="58" spans="1:2" x14ac:dyDescent="0.25">
      <c r="A58">
        <v>56</v>
      </c>
      <c r="B58" t="s">
        <v>1832</v>
      </c>
    </row>
    <row r="59" spans="1:2" x14ac:dyDescent="0.25">
      <c r="A59">
        <v>57</v>
      </c>
      <c r="B59" t="s">
        <v>1833</v>
      </c>
    </row>
    <row r="60" spans="1:2" x14ac:dyDescent="0.25">
      <c r="A60">
        <v>59</v>
      </c>
      <c r="B60" t="s">
        <v>1834</v>
      </c>
    </row>
    <row r="61" spans="1:2" x14ac:dyDescent="0.25">
      <c r="A61">
        <v>60</v>
      </c>
      <c r="B61" t="s">
        <v>1835</v>
      </c>
    </row>
    <row r="62" spans="1:2" x14ac:dyDescent="0.25">
      <c r="A62">
        <v>61</v>
      </c>
      <c r="B62" t="s">
        <v>1836</v>
      </c>
    </row>
    <row r="63" spans="1:2" x14ac:dyDescent="0.25">
      <c r="A63">
        <v>62</v>
      </c>
      <c r="B63" t="s">
        <v>1837</v>
      </c>
    </row>
    <row r="64" spans="1:2" x14ac:dyDescent="0.25">
      <c r="A64">
        <v>63</v>
      </c>
      <c r="B64" t="s">
        <v>1838</v>
      </c>
    </row>
    <row r="65" spans="1:2" x14ac:dyDescent="0.25">
      <c r="A65">
        <v>64</v>
      </c>
      <c r="B65" t="s">
        <v>1839</v>
      </c>
    </row>
    <row r="66" spans="1:2" x14ac:dyDescent="0.25">
      <c r="A66">
        <v>65</v>
      </c>
      <c r="B66" t="s">
        <v>111</v>
      </c>
    </row>
    <row r="67" spans="1:2" x14ac:dyDescent="0.25">
      <c r="A67">
        <v>66</v>
      </c>
      <c r="B67" t="s">
        <v>1840</v>
      </c>
    </row>
    <row r="68" spans="1:2" x14ac:dyDescent="0.25">
      <c r="A68">
        <v>67</v>
      </c>
      <c r="B68" t="s">
        <v>1841</v>
      </c>
    </row>
    <row r="69" spans="1:2" x14ac:dyDescent="0.25">
      <c r="A69">
        <v>68</v>
      </c>
      <c r="B69" t="s">
        <v>1842</v>
      </c>
    </row>
    <row r="70" spans="1:2" x14ac:dyDescent="0.25">
      <c r="A70">
        <v>69</v>
      </c>
      <c r="B70" t="s">
        <v>1843</v>
      </c>
    </row>
    <row r="71" spans="1:2" x14ac:dyDescent="0.25">
      <c r="A71">
        <v>70</v>
      </c>
      <c r="B71" t="s">
        <v>1844</v>
      </c>
    </row>
    <row r="72" spans="1:2" x14ac:dyDescent="0.25">
      <c r="A72">
        <v>71</v>
      </c>
      <c r="B72" t="s">
        <v>1845</v>
      </c>
    </row>
    <row r="73" spans="1:2" x14ac:dyDescent="0.25">
      <c r="A73">
        <v>72</v>
      </c>
      <c r="B73" t="s">
        <v>1846</v>
      </c>
    </row>
    <row r="74" spans="1:2" x14ac:dyDescent="0.25">
      <c r="A74">
        <v>73</v>
      </c>
      <c r="B74" t="s">
        <v>1847</v>
      </c>
    </row>
    <row r="75" spans="1:2" x14ac:dyDescent="0.25">
      <c r="A75">
        <v>74</v>
      </c>
      <c r="B75" t="s">
        <v>1848</v>
      </c>
    </row>
    <row r="76" spans="1:2" x14ac:dyDescent="0.25">
      <c r="A76">
        <v>75</v>
      </c>
      <c r="B76" t="s">
        <v>1849</v>
      </c>
    </row>
    <row r="77" spans="1:2" x14ac:dyDescent="0.25">
      <c r="A77">
        <v>76</v>
      </c>
      <c r="B77" t="s">
        <v>1850</v>
      </c>
    </row>
    <row r="78" spans="1:2" x14ac:dyDescent="0.25">
      <c r="A78">
        <v>77</v>
      </c>
      <c r="B78" t="s">
        <v>1851</v>
      </c>
    </row>
    <row r="79" spans="1:2" x14ac:dyDescent="0.25">
      <c r="A79">
        <v>78</v>
      </c>
      <c r="B79" t="s">
        <v>1852</v>
      </c>
    </row>
    <row r="80" spans="1:2" x14ac:dyDescent="0.25">
      <c r="A80">
        <v>79</v>
      </c>
      <c r="B80" t="s">
        <v>1853</v>
      </c>
    </row>
    <row r="81" spans="1:2" x14ac:dyDescent="0.25">
      <c r="A81">
        <v>80</v>
      </c>
      <c r="B81" t="s">
        <v>1854</v>
      </c>
    </row>
    <row r="82" spans="1:2" x14ac:dyDescent="0.25">
      <c r="A82">
        <v>81</v>
      </c>
      <c r="B82" t="s">
        <v>1855</v>
      </c>
    </row>
    <row r="83" spans="1:2" x14ac:dyDescent="0.25">
      <c r="A83">
        <v>82</v>
      </c>
      <c r="B83" t="s">
        <v>1856</v>
      </c>
    </row>
    <row r="84" spans="1:2" x14ac:dyDescent="0.25">
      <c r="A84">
        <v>83</v>
      </c>
      <c r="B84" t="s">
        <v>1857</v>
      </c>
    </row>
    <row r="85" spans="1:2" x14ac:dyDescent="0.25">
      <c r="A85">
        <v>84</v>
      </c>
      <c r="B85" t="s">
        <v>1858</v>
      </c>
    </row>
    <row r="86" spans="1:2" x14ac:dyDescent="0.25">
      <c r="A86">
        <v>85</v>
      </c>
      <c r="B86" t="s">
        <v>1859</v>
      </c>
    </row>
    <row r="87" spans="1:2" x14ac:dyDescent="0.25">
      <c r="A87">
        <v>86</v>
      </c>
      <c r="B87" t="s">
        <v>1860</v>
      </c>
    </row>
    <row r="88" spans="1:2" x14ac:dyDescent="0.25">
      <c r="A88">
        <v>87</v>
      </c>
      <c r="B88" t="s">
        <v>1861</v>
      </c>
    </row>
    <row r="89" spans="1:2" x14ac:dyDescent="0.25">
      <c r="A89">
        <v>88</v>
      </c>
      <c r="B89" t="s">
        <v>1862</v>
      </c>
    </row>
    <row r="90" spans="1:2" x14ac:dyDescent="0.25">
      <c r="A90">
        <v>89</v>
      </c>
      <c r="B90" t="s">
        <v>381</v>
      </c>
    </row>
    <row r="91" spans="1:2" x14ac:dyDescent="0.25">
      <c r="A91">
        <v>90</v>
      </c>
      <c r="B91" t="s">
        <v>1863</v>
      </c>
    </row>
    <row r="92" spans="1:2" x14ac:dyDescent="0.25">
      <c r="A92">
        <v>91</v>
      </c>
      <c r="B92" t="s">
        <v>1864</v>
      </c>
    </row>
    <row r="93" spans="1:2" x14ac:dyDescent="0.25">
      <c r="A93">
        <v>92</v>
      </c>
      <c r="B93" t="s">
        <v>1865</v>
      </c>
    </row>
    <row r="94" spans="1:2" x14ac:dyDescent="0.25">
      <c r="A94">
        <v>93</v>
      </c>
      <c r="B94" t="s">
        <v>1866</v>
      </c>
    </row>
    <row r="95" spans="1:2" x14ac:dyDescent="0.25">
      <c r="A95">
        <v>94</v>
      </c>
      <c r="B95" t="s">
        <v>1867</v>
      </c>
    </row>
    <row r="96" spans="1:2" x14ac:dyDescent="0.25">
      <c r="A96">
        <v>95</v>
      </c>
      <c r="B96" t="s">
        <v>1868</v>
      </c>
    </row>
    <row r="97" spans="1:2" x14ac:dyDescent="0.25">
      <c r="A97">
        <v>96</v>
      </c>
      <c r="B97" t="s">
        <v>1869</v>
      </c>
    </row>
    <row r="98" spans="1:2" x14ac:dyDescent="0.25">
      <c r="A98">
        <v>97</v>
      </c>
      <c r="B98" t="s">
        <v>1870</v>
      </c>
    </row>
    <row r="99" spans="1:2" x14ac:dyDescent="0.25">
      <c r="A99">
        <v>98</v>
      </c>
      <c r="B99" t="s">
        <v>1871</v>
      </c>
    </row>
    <row r="100" spans="1:2" x14ac:dyDescent="0.25">
      <c r="A100">
        <v>99</v>
      </c>
      <c r="B100" t="s">
        <v>1872</v>
      </c>
    </row>
    <row r="101" spans="1:2" x14ac:dyDescent="0.25">
      <c r="A101">
        <v>100</v>
      </c>
      <c r="B101" t="s">
        <v>1873</v>
      </c>
    </row>
    <row r="102" spans="1:2" x14ac:dyDescent="0.25">
      <c r="A102">
        <v>101</v>
      </c>
      <c r="B102" t="s">
        <v>1874</v>
      </c>
    </row>
    <row r="103" spans="1:2" x14ac:dyDescent="0.25">
      <c r="A103">
        <v>102</v>
      </c>
      <c r="B103" t="s">
        <v>1875</v>
      </c>
    </row>
    <row r="104" spans="1:2" x14ac:dyDescent="0.25">
      <c r="A104">
        <v>103</v>
      </c>
      <c r="B104" t="s">
        <v>1876</v>
      </c>
    </row>
    <row r="105" spans="1:2" x14ac:dyDescent="0.25">
      <c r="A105">
        <v>104</v>
      </c>
      <c r="B105" t="s">
        <v>1877</v>
      </c>
    </row>
    <row r="106" spans="1:2" x14ac:dyDescent="0.25">
      <c r="A106">
        <v>105</v>
      </c>
      <c r="B106" t="s">
        <v>1878</v>
      </c>
    </row>
    <row r="107" spans="1:2" x14ac:dyDescent="0.25">
      <c r="A107">
        <v>106</v>
      </c>
      <c r="B107" t="s">
        <v>1879</v>
      </c>
    </row>
    <row r="108" spans="1:2" x14ac:dyDescent="0.25">
      <c r="A108">
        <v>107</v>
      </c>
      <c r="B108" t="s">
        <v>1880</v>
      </c>
    </row>
    <row r="109" spans="1:2" x14ac:dyDescent="0.25">
      <c r="A109">
        <v>108</v>
      </c>
      <c r="B109" t="s">
        <v>1881</v>
      </c>
    </row>
    <row r="110" spans="1:2" x14ac:dyDescent="0.25">
      <c r="A110">
        <v>109</v>
      </c>
      <c r="B110" t="s">
        <v>1882</v>
      </c>
    </row>
    <row r="111" spans="1:2" x14ac:dyDescent="0.25">
      <c r="A111">
        <v>110</v>
      </c>
      <c r="B111" t="s">
        <v>1883</v>
      </c>
    </row>
    <row r="112" spans="1:2" x14ac:dyDescent="0.25">
      <c r="A112">
        <v>111</v>
      </c>
      <c r="B112" t="s">
        <v>1884</v>
      </c>
    </row>
    <row r="113" spans="1:2" x14ac:dyDescent="0.25">
      <c r="A113">
        <v>112</v>
      </c>
      <c r="B113" t="s">
        <v>1885</v>
      </c>
    </row>
    <row r="114" spans="1:2" x14ac:dyDescent="0.25">
      <c r="A114">
        <v>113</v>
      </c>
      <c r="B114" t="s">
        <v>1886</v>
      </c>
    </row>
    <row r="115" spans="1:2" x14ac:dyDescent="0.25">
      <c r="A115">
        <v>114</v>
      </c>
      <c r="B115" t="s">
        <v>1887</v>
      </c>
    </row>
    <row r="116" spans="1:2" x14ac:dyDescent="0.25">
      <c r="A116">
        <v>115</v>
      </c>
      <c r="B116" t="s">
        <v>1888</v>
      </c>
    </row>
    <row r="117" spans="1:2" x14ac:dyDescent="0.25">
      <c r="A117">
        <v>116</v>
      </c>
      <c r="B117" t="s">
        <v>1889</v>
      </c>
    </row>
    <row r="118" spans="1:2" x14ac:dyDescent="0.25">
      <c r="A118">
        <v>117</v>
      </c>
      <c r="B118" t="s">
        <v>1890</v>
      </c>
    </row>
    <row r="119" spans="1:2" x14ac:dyDescent="0.25">
      <c r="A119">
        <v>118</v>
      </c>
      <c r="B119" t="s">
        <v>1891</v>
      </c>
    </row>
    <row r="120" spans="1:2" x14ac:dyDescent="0.25">
      <c r="A120">
        <v>119</v>
      </c>
      <c r="B120" t="s">
        <v>1892</v>
      </c>
    </row>
    <row r="121" spans="1:2" x14ac:dyDescent="0.25">
      <c r="A121">
        <v>120</v>
      </c>
      <c r="B121" t="s">
        <v>1893</v>
      </c>
    </row>
    <row r="122" spans="1:2" x14ac:dyDescent="0.25">
      <c r="A122">
        <v>121</v>
      </c>
      <c r="B122" t="s">
        <v>1894</v>
      </c>
    </row>
    <row r="123" spans="1:2" x14ac:dyDescent="0.25">
      <c r="A123">
        <v>122</v>
      </c>
      <c r="B123" t="s">
        <v>1895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23"/>
  <sheetViews>
    <sheetView workbookViewId="0">
      <selection activeCell="B23" sqref="B23"/>
    </sheetView>
  </sheetViews>
  <sheetFormatPr defaultRowHeight="15" x14ac:dyDescent="0.25"/>
  <cols>
    <col min="1" max="1" width="13.7109375" bestFit="1" customWidth="1"/>
    <col min="2" max="2" width="27" bestFit="1" customWidth="1"/>
  </cols>
  <sheetData>
    <row r="1" spans="1:2" x14ac:dyDescent="0.25">
      <c r="A1" t="s">
        <v>25</v>
      </c>
      <c r="B1" t="s">
        <v>26</v>
      </c>
    </row>
    <row r="2" spans="1:2" x14ac:dyDescent="0.25">
      <c r="A2" t="s">
        <v>23</v>
      </c>
      <c r="B2" t="s">
        <v>38</v>
      </c>
    </row>
    <row r="3" spans="1:2" x14ac:dyDescent="0.25">
      <c r="A3" t="s">
        <v>24</v>
      </c>
      <c r="B3" t="s">
        <v>31</v>
      </c>
    </row>
    <row r="4" spans="1:2" x14ac:dyDescent="0.25">
      <c r="B4" t="s">
        <v>32</v>
      </c>
    </row>
    <row r="5" spans="1:2" x14ac:dyDescent="0.25">
      <c r="B5" t="s">
        <v>35</v>
      </c>
    </row>
    <row r="6" spans="1:2" x14ac:dyDescent="0.25">
      <c r="B6" t="s">
        <v>33</v>
      </c>
    </row>
    <row r="7" spans="1:2" x14ac:dyDescent="0.25">
      <c r="B7" t="s">
        <v>37</v>
      </c>
    </row>
    <row r="8" spans="1:2" x14ac:dyDescent="0.25">
      <c r="B8" t="s">
        <v>36</v>
      </c>
    </row>
    <row r="9" spans="1:2" x14ac:dyDescent="0.25">
      <c r="B9" t="s">
        <v>29</v>
      </c>
    </row>
    <row r="10" spans="1:2" x14ac:dyDescent="0.25">
      <c r="B10" t="s">
        <v>28</v>
      </c>
    </row>
    <row r="11" spans="1:2" x14ac:dyDescent="0.25">
      <c r="B11" t="s">
        <v>34</v>
      </c>
    </row>
    <row r="12" spans="1:2" x14ac:dyDescent="0.25">
      <c r="B12" t="s">
        <v>27</v>
      </c>
    </row>
    <row r="13" spans="1:2" x14ac:dyDescent="0.25">
      <c r="B13" t="s">
        <v>30</v>
      </c>
    </row>
    <row r="14" spans="1:2" x14ac:dyDescent="0.25">
      <c r="B14" t="s">
        <v>39</v>
      </c>
    </row>
    <row r="15" spans="1:2" x14ac:dyDescent="0.25">
      <c r="B15" t="s">
        <v>40</v>
      </c>
    </row>
    <row r="16" spans="1:2" x14ac:dyDescent="0.25">
      <c r="B16" t="s">
        <v>41</v>
      </c>
    </row>
    <row r="17" spans="2:2" x14ac:dyDescent="0.25">
      <c r="B17" t="s">
        <v>42</v>
      </c>
    </row>
    <row r="18" spans="2:2" x14ac:dyDescent="0.25">
      <c r="B18" t="s">
        <v>35</v>
      </c>
    </row>
    <row r="19" spans="2:2" x14ac:dyDescent="0.25">
      <c r="B19" t="s">
        <v>45</v>
      </c>
    </row>
    <row r="20" spans="2:2" x14ac:dyDescent="0.25">
      <c r="B20" t="s">
        <v>46</v>
      </c>
    </row>
    <row r="21" spans="2:2" x14ac:dyDescent="0.25">
      <c r="B21" t="s">
        <v>47</v>
      </c>
    </row>
    <row r="22" spans="2:2" x14ac:dyDescent="0.25">
      <c r="B22" t="s">
        <v>48</v>
      </c>
    </row>
    <row r="23" spans="2:2" x14ac:dyDescent="0.25">
      <c r="B23" t="s">
        <v>49</v>
      </c>
    </row>
  </sheetData>
  <sortState ref="B2:B13">
    <sortCondition ref="B2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9:I758"/>
  <sheetViews>
    <sheetView workbookViewId="0">
      <selection activeCell="I9" sqref="I9:I758"/>
    </sheetView>
  </sheetViews>
  <sheetFormatPr defaultRowHeight="15" x14ac:dyDescent="0.25"/>
  <sheetData>
    <row r="9" spans="1:9" x14ac:dyDescent="0.25">
      <c r="A9" s="20">
        <v>1</v>
      </c>
      <c r="B9" t="s">
        <v>178</v>
      </c>
      <c r="C9" s="20" t="s">
        <v>50</v>
      </c>
      <c r="I9" t="str">
        <f t="shared" ref="I9:I72" si="0">IF(H9&lt;&gt;"",H9,IF(G9&lt;&gt;"",G9,IF(F9&lt;&gt;"",F9,IF(E9&lt;&gt;"",E9,IF(D9&lt;&gt;"",D9,IF(C9&lt;&gt;"",C9,B9))))))</f>
        <v>ATIVO</v>
      </c>
    </row>
    <row r="10" spans="1:9" x14ac:dyDescent="0.25">
      <c r="A10">
        <v>2</v>
      </c>
      <c r="B10" t="s">
        <v>179</v>
      </c>
      <c r="D10" t="s">
        <v>51</v>
      </c>
      <c r="I10" t="str">
        <f t="shared" si="0"/>
        <v>ATIVO CIRCULANTE</v>
      </c>
    </row>
    <row r="11" spans="1:9" x14ac:dyDescent="0.25">
      <c r="A11">
        <v>3</v>
      </c>
      <c r="B11" t="s">
        <v>180</v>
      </c>
      <c r="E11" t="s">
        <v>52</v>
      </c>
      <c r="I11" t="str">
        <f t="shared" si="0"/>
        <v>DISPONÍVEL</v>
      </c>
    </row>
    <row r="12" spans="1:9" x14ac:dyDescent="0.25">
      <c r="A12">
        <v>4</v>
      </c>
      <c r="B12" t="s">
        <v>181</v>
      </c>
      <c r="F12" t="s">
        <v>53</v>
      </c>
      <c r="I12" t="str">
        <f t="shared" si="0"/>
        <v>CAIXA</v>
      </c>
    </row>
    <row r="13" spans="1:9" x14ac:dyDescent="0.25">
      <c r="A13">
        <v>5</v>
      </c>
      <c r="B13" t="s">
        <v>182</v>
      </c>
      <c r="G13" t="s">
        <v>54</v>
      </c>
      <c r="I13" t="str">
        <f t="shared" si="0"/>
        <v>CAIXA GERAL</v>
      </c>
    </row>
    <row r="14" spans="1:9" x14ac:dyDescent="0.25">
      <c r="A14">
        <v>7</v>
      </c>
      <c r="B14" t="s">
        <v>183</v>
      </c>
      <c r="F14" t="s">
        <v>55</v>
      </c>
      <c r="I14" t="str">
        <f t="shared" si="0"/>
        <v>BANCOS CONTA MOVIMENTO</v>
      </c>
    </row>
    <row r="15" spans="1:9" x14ac:dyDescent="0.25">
      <c r="A15">
        <v>8</v>
      </c>
      <c r="B15" t="s">
        <v>184</v>
      </c>
      <c r="G15" t="s">
        <v>185</v>
      </c>
      <c r="I15" t="str">
        <f t="shared" si="0"/>
        <v>BANCO DO BRASIL S/A.</v>
      </c>
    </row>
    <row r="16" spans="1:9" x14ac:dyDescent="0.25">
      <c r="A16">
        <v>9</v>
      </c>
      <c r="B16" t="s">
        <v>186</v>
      </c>
      <c r="G16" t="s">
        <v>187</v>
      </c>
      <c r="I16" t="str">
        <f t="shared" si="0"/>
        <v>BANCO BRADESCO S/A.</v>
      </c>
    </row>
    <row r="17" spans="1:9" x14ac:dyDescent="0.25">
      <c r="A17">
        <v>519</v>
      </c>
      <c r="B17" t="s">
        <v>188</v>
      </c>
      <c r="G17" t="s">
        <v>189</v>
      </c>
      <c r="I17" t="str">
        <f t="shared" si="0"/>
        <v>BANCO ITAU UNIBANCO S/A.</v>
      </c>
    </row>
    <row r="18" spans="1:9" x14ac:dyDescent="0.25">
      <c r="A18">
        <v>520</v>
      </c>
      <c r="B18" t="s">
        <v>190</v>
      </c>
      <c r="G18" t="s">
        <v>56</v>
      </c>
      <c r="I18" t="str">
        <f t="shared" si="0"/>
        <v>BANCO SANTANDER S/A.</v>
      </c>
    </row>
    <row r="19" spans="1:9" x14ac:dyDescent="0.25">
      <c r="A19">
        <v>521</v>
      </c>
      <c r="B19" t="s">
        <v>479</v>
      </c>
      <c r="G19" t="s">
        <v>1118</v>
      </c>
      <c r="I19" t="str">
        <f t="shared" si="0"/>
        <v>BANCO HSBC S/A.</v>
      </c>
    </row>
    <row r="20" spans="1:9" x14ac:dyDescent="0.25">
      <c r="A20">
        <v>522</v>
      </c>
      <c r="B20" t="s">
        <v>191</v>
      </c>
      <c r="G20" t="s">
        <v>192</v>
      </c>
      <c r="I20" t="str">
        <f t="shared" si="0"/>
        <v>BANCO SAFRA S/A.</v>
      </c>
    </row>
    <row r="21" spans="1:9" x14ac:dyDescent="0.25">
      <c r="A21">
        <v>523</v>
      </c>
      <c r="B21" t="s">
        <v>480</v>
      </c>
      <c r="G21" t="s">
        <v>1119</v>
      </c>
      <c r="I21" t="str">
        <f t="shared" si="0"/>
        <v>CAIXA ECONOMICA FEDERAL</v>
      </c>
    </row>
    <row r="22" spans="1:9" x14ac:dyDescent="0.25">
      <c r="A22">
        <v>524</v>
      </c>
      <c r="B22" t="s">
        <v>481</v>
      </c>
      <c r="G22" t="s">
        <v>1120</v>
      </c>
      <c r="I22" t="str">
        <f t="shared" si="0"/>
        <v>UNICRED COOPERATIVA DE CREDITO</v>
      </c>
    </row>
    <row r="23" spans="1:9" x14ac:dyDescent="0.25">
      <c r="A23">
        <v>525</v>
      </c>
      <c r="B23" t="s">
        <v>482</v>
      </c>
      <c r="G23" t="s">
        <v>1121</v>
      </c>
      <c r="I23" t="str">
        <f t="shared" si="0"/>
        <v>BANCO CITIBANK S/A.</v>
      </c>
    </row>
    <row r="24" spans="1:9" x14ac:dyDescent="0.25">
      <c r="A24">
        <v>526</v>
      </c>
      <c r="B24" t="s">
        <v>483</v>
      </c>
      <c r="G24" t="s">
        <v>1122</v>
      </c>
      <c r="I24" t="str">
        <f t="shared" si="0"/>
        <v>BANCO SOFISA S/A.</v>
      </c>
    </row>
    <row r="25" spans="1:9" x14ac:dyDescent="0.25">
      <c r="A25">
        <v>10</v>
      </c>
      <c r="B25" t="s">
        <v>193</v>
      </c>
      <c r="F25" t="s">
        <v>194</v>
      </c>
      <c r="I25" t="str">
        <f t="shared" si="0"/>
        <v>APLICAÇÕES FINANCEIRAS LIQUIDEZ IMEDIATA</v>
      </c>
    </row>
    <row r="26" spans="1:9" x14ac:dyDescent="0.25">
      <c r="A26">
        <v>11</v>
      </c>
      <c r="B26" t="s">
        <v>484</v>
      </c>
      <c r="G26" t="s">
        <v>185</v>
      </c>
      <c r="I26" t="str">
        <f t="shared" si="0"/>
        <v>BANCO DO BRASIL S/A.</v>
      </c>
    </row>
    <row r="27" spans="1:9" x14ac:dyDescent="0.25">
      <c r="A27">
        <v>527</v>
      </c>
      <c r="B27" t="s">
        <v>485</v>
      </c>
      <c r="G27" t="s">
        <v>1123</v>
      </c>
      <c r="I27" t="str">
        <f t="shared" si="0"/>
        <v>(-) BANCO DO BRASIL S/A.</v>
      </c>
    </row>
    <row r="28" spans="1:9" x14ac:dyDescent="0.25">
      <c r="A28">
        <v>528</v>
      </c>
      <c r="B28" t="s">
        <v>195</v>
      </c>
      <c r="G28" t="s">
        <v>187</v>
      </c>
      <c r="I28" t="str">
        <f t="shared" si="0"/>
        <v>BANCO BRADESCO S/A.</v>
      </c>
    </row>
    <row r="29" spans="1:9" x14ac:dyDescent="0.25">
      <c r="A29">
        <v>529</v>
      </c>
      <c r="B29" t="s">
        <v>486</v>
      </c>
      <c r="G29" t="s">
        <v>1124</v>
      </c>
      <c r="I29" t="str">
        <f t="shared" si="0"/>
        <v>(-) BANCO BRADESCO S/A.</v>
      </c>
    </row>
    <row r="30" spans="1:9" x14ac:dyDescent="0.25">
      <c r="A30">
        <v>530</v>
      </c>
      <c r="B30" t="s">
        <v>196</v>
      </c>
      <c r="G30" t="s">
        <v>189</v>
      </c>
      <c r="I30" t="str">
        <f t="shared" si="0"/>
        <v>BANCO ITAU UNIBANCO S/A.</v>
      </c>
    </row>
    <row r="31" spans="1:9" x14ac:dyDescent="0.25">
      <c r="A31">
        <v>531</v>
      </c>
      <c r="B31" t="s">
        <v>197</v>
      </c>
      <c r="G31" t="s">
        <v>198</v>
      </c>
      <c r="I31" t="str">
        <f t="shared" si="0"/>
        <v>(-) BANCO ITAU UNIBANCO S/A.</v>
      </c>
    </row>
    <row r="32" spans="1:9" x14ac:dyDescent="0.25">
      <c r="A32">
        <v>532</v>
      </c>
      <c r="B32" t="s">
        <v>199</v>
      </c>
      <c r="G32" t="s">
        <v>56</v>
      </c>
      <c r="I32" t="str">
        <f t="shared" si="0"/>
        <v>BANCO SANTANDER S/A.</v>
      </c>
    </row>
    <row r="33" spans="1:9" x14ac:dyDescent="0.25">
      <c r="A33">
        <v>533</v>
      </c>
      <c r="B33" t="s">
        <v>487</v>
      </c>
      <c r="G33" t="s">
        <v>1125</v>
      </c>
      <c r="I33" t="str">
        <f t="shared" si="0"/>
        <v>(-) BANCO SANTANDER S/A.</v>
      </c>
    </row>
    <row r="34" spans="1:9" x14ac:dyDescent="0.25">
      <c r="A34">
        <v>534</v>
      </c>
      <c r="B34" t="s">
        <v>488</v>
      </c>
      <c r="G34" t="s">
        <v>1118</v>
      </c>
      <c r="I34" t="str">
        <f t="shared" si="0"/>
        <v>BANCO HSBC S/A.</v>
      </c>
    </row>
    <row r="35" spans="1:9" x14ac:dyDescent="0.25">
      <c r="A35">
        <v>535</v>
      </c>
      <c r="B35" t="s">
        <v>489</v>
      </c>
      <c r="G35" t="s">
        <v>1126</v>
      </c>
      <c r="I35" t="str">
        <f t="shared" si="0"/>
        <v>(-) BANCO HSBC S/A.</v>
      </c>
    </row>
    <row r="36" spans="1:9" x14ac:dyDescent="0.25">
      <c r="A36">
        <v>536</v>
      </c>
      <c r="B36" t="s">
        <v>200</v>
      </c>
      <c r="G36" t="s">
        <v>192</v>
      </c>
      <c r="I36" t="str">
        <f t="shared" si="0"/>
        <v>BANCO SAFRA S/A.</v>
      </c>
    </row>
    <row r="37" spans="1:9" x14ac:dyDescent="0.25">
      <c r="A37">
        <v>537</v>
      </c>
      <c r="B37" t="s">
        <v>490</v>
      </c>
      <c r="G37" t="s">
        <v>1127</v>
      </c>
      <c r="I37" t="str">
        <f t="shared" si="0"/>
        <v>(-) BANCO SAFRA S/A.</v>
      </c>
    </row>
    <row r="38" spans="1:9" x14ac:dyDescent="0.25">
      <c r="A38">
        <v>538</v>
      </c>
      <c r="B38" t="s">
        <v>491</v>
      </c>
      <c r="G38" t="s">
        <v>1119</v>
      </c>
      <c r="I38" t="str">
        <f t="shared" si="0"/>
        <v>CAIXA ECONOMICA FEDERAL</v>
      </c>
    </row>
    <row r="39" spans="1:9" x14ac:dyDescent="0.25">
      <c r="A39">
        <v>539</v>
      </c>
      <c r="B39" t="s">
        <v>492</v>
      </c>
      <c r="G39" t="s">
        <v>1128</v>
      </c>
      <c r="I39" t="str">
        <f t="shared" si="0"/>
        <v>(-) CAIXA ECONOMICA FEDERAL</v>
      </c>
    </row>
    <row r="40" spans="1:9" x14ac:dyDescent="0.25">
      <c r="A40">
        <v>540</v>
      </c>
      <c r="B40" t="s">
        <v>493</v>
      </c>
      <c r="G40" t="s">
        <v>1120</v>
      </c>
      <c r="I40" t="str">
        <f t="shared" si="0"/>
        <v>UNICRED COOPERATIVA DE CREDITO</v>
      </c>
    </row>
    <row r="41" spans="1:9" x14ac:dyDescent="0.25">
      <c r="A41">
        <v>541</v>
      </c>
      <c r="B41" t="s">
        <v>494</v>
      </c>
      <c r="G41" t="s">
        <v>1129</v>
      </c>
      <c r="I41" t="str">
        <f t="shared" si="0"/>
        <v>(-) UNICRED COOPERATIVA DE CREDITO</v>
      </c>
    </row>
    <row r="42" spans="1:9" x14ac:dyDescent="0.25">
      <c r="A42">
        <v>542</v>
      </c>
      <c r="B42" t="s">
        <v>495</v>
      </c>
      <c r="G42" t="s">
        <v>1121</v>
      </c>
      <c r="I42" t="str">
        <f t="shared" si="0"/>
        <v>BANCO CITIBANK S/A.</v>
      </c>
    </row>
    <row r="43" spans="1:9" x14ac:dyDescent="0.25">
      <c r="A43">
        <v>543</v>
      </c>
      <c r="B43" t="s">
        <v>496</v>
      </c>
      <c r="G43" t="s">
        <v>1130</v>
      </c>
      <c r="I43" t="str">
        <f t="shared" si="0"/>
        <v>(-) BANCO CITIBANK S/A.</v>
      </c>
    </row>
    <row r="44" spans="1:9" x14ac:dyDescent="0.25">
      <c r="A44">
        <v>544</v>
      </c>
      <c r="B44" t="s">
        <v>497</v>
      </c>
      <c r="G44" t="s">
        <v>1122</v>
      </c>
      <c r="I44" t="str">
        <f t="shared" si="0"/>
        <v>BANCO SOFISA S/A.</v>
      </c>
    </row>
    <row r="45" spans="1:9" x14ac:dyDescent="0.25">
      <c r="A45">
        <v>545</v>
      </c>
      <c r="B45" t="s">
        <v>498</v>
      </c>
      <c r="F45" t="s">
        <v>1131</v>
      </c>
      <c r="I45" t="str">
        <f t="shared" si="0"/>
        <v>OUTRAS DISPONIBILIDADES</v>
      </c>
    </row>
    <row r="46" spans="1:9" x14ac:dyDescent="0.25">
      <c r="A46">
        <v>546</v>
      </c>
      <c r="B46" t="s">
        <v>499</v>
      </c>
      <c r="G46" t="s">
        <v>1132</v>
      </c>
      <c r="I46" t="str">
        <f t="shared" si="0"/>
        <v>TRANSFERENCIA - MATRIZ</v>
      </c>
    </row>
    <row r="47" spans="1:9" x14ac:dyDescent="0.25">
      <c r="A47">
        <v>547</v>
      </c>
      <c r="B47" t="s">
        <v>500</v>
      </c>
      <c r="G47" t="s">
        <v>1133</v>
      </c>
      <c r="I47" t="str">
        <f t="shared" si="0"/>
        <v>TRANSFERENCIA - FILIAL 01</v>
      </c>
    </row>
    <row r="48" spans="1:9" x14ac:dyDescent="0.25">
      <c r="A48">
        <v>548</v>
      </c>
      <c r="B48" t="s">
        <v>501</v>
      </c>
      <c r="G48" t="s">
        <v>1134</v>
      </c>
      <c r="I48" t="str">
        <f t="shared" si="0"/>
        <v>TRANSFERENCIA - FILIAL 02</v>
      </c>
    </row>
    <row r="49" spans="1:9" x14ac:dyDescent="0.25">
      <c r="A49">
        <v>549</v>
      </c>
      <c r="B49" t="s">
        <v>502</v>
      </c>
      <c r="G49" t="s">
        <v>1135</v>
      </c>
      <c r="I49" t="str">
        <f t="shared" si="0"/>
        <v>TRANSFERENCIA - FILIAL 03</v>
      </c>
    </row>
    <row r="50" spans="1:9" x14ac:dyDescent="0.25">
      <c r="A50">
        <v>550</v>
      </c>
      <c r="B50" t="s">
        <v>503</v>
      </c>
      <c r="G50" t="s">
        <v>1136</v>
      </c>
      <c r="I50" t="str">
        <f t="shared" si="0"/>
        <v>TRANSFERENCIA - FILIAL 04</v>
      </c>
    </row>
    <row r="51" spans="1:9" x14ac:dyDescent="0.25">
      <c r="A51">
        <v>551</v>
      </c>
      <c r="B51" t="s">
        <v>504</v>
      </c>
      <c r="G51" t="s">
        <v>1137</v>
      </c>
      <c r="I51" t="str">
        <f t="shared" si="0"/>
        <v>TRANSFERENCIA - FILIAL 05</v>
      </c>
    </row>
    <row r="52" spans="1:9" x14ac:dyDescent="0.25">
      <c r="A52">
        <v>552</v>
      </c>
      <c r="B52" t="s">
        <v>505</v>
      </c>
      <c r="G52" t="s">
        <v>1138</v>
      </c>
      <c r="I52" t="str">
        <f t="shared" si="0"/>
        <v>TRANSFERENCIA - FILIAL 06</v>
      </c>
    </row>
    <row r="53" spans="1:9" x14ac:dyDescent="0.25">
      <c r="A53">
        <v>12</v>
      </c>
      <c r="B53" t="s">
        <v>201</v>
      </c>
      <c r="E53" t="s">
        <v>57</v>
      </c>
      <c r="I53" t="str">
        <f t="shared" si="0"/>
        <v>CLIENTES</v>
      </c>
    </row>
    <row r="54" spans="1:9" x14ac:dyDescent="0.25">
      <c r="A54">
        <v>13</v>
      </c>
      <c r="B54" t="s">
        <v>202</v>
      </c>
      <c r="F54" t="s">
        <v>58</v>
      </c>
      <c r="I54" t="str">
        <f t="shared" si="0"/>
        <v>DUPLICATAS A RECEBER</v>
      </c>
    </row>
    <row r="55" spans="1:9" x14ac:dyDescent="0.25">
      <c r="A55">
        <v>504</v>
      </c>
      <c r="B55" t="s">
        <v>203</v>
      </c>
      <c r="G55" t="s">
        <v>59</v>
      </c>
      <c r="I55" t="str">
        <f t="shared" si="0"/>
        <v>CLIENTES DIVERSOS</v>
      </c>
    </row>
    <row r="56" spans="1:9" x14ac:dyDescent="0.25">
      <c r="A56">
        <v>553</v>
      </c>
      <c r="B56" t="s">
        <v>506</v>
      </c>
      <c r="G56" t="s">
        <v>1924</v>
      </c>
      <c r="I56" t="str">
        <f t="shared" si="0"/>
        <v>(-) PROVISAO PARA LIQUIDAÇÃO DUVIDOSA</v>
      </c>
    </row>
    <row r="57" spans="1:9" x14ac:dyDescent="0.25">
      <c r="A57">
        <v>16</v>
      </c>
      <c r="B57" t="s">
        <v>507</v>
      </c>
      <c r="F57" t="s">
        <v>60</v>
      </c>
      <c r="I57" t="str">
        <f t="shared" si="0"/>
        <v>(-) DUPLICATAS DESCONTADAS</v>
      </c>
    </row>
    <row r="58" spans="1:9" x14ac:dyDescent="0.25">
      <c r="A58">
        <v>1254</v>
      </c>
      <c r="B58" t="s">
        <v>1910</v>
      </c>
      <c r="G58" t="s">
        <v>1925</v>
      </c>
      <c r="I58" t="str">
        <f t="shared" si="0"/>
        <v>(-) BANCO SANTANDER</v>
      </c>
    </row>
    <row r="59" spans="1:9" x14ac:dyDescent="0.25">
      <c r="A59">
        <v>17</v>
      </c>
      <c r="B59" t="s">
        <v>508</v>
      </c>
      <c r="F59" t="s">
        <v>1139</v>
      </c>
      <c r="I59" t="str">
        <f t="shared" si="0"/>
        <v>CRÉDITOS VENCIDOS E NÃO LIQUIDADOS</v>
      </c>
    </row>
    <row r="60" spans="1:9" x14ac:dyDescent="0.25">
      <c r="A60">
        <v>18</v>
      </c>
      <c r="B60" t="s">
        <v>204</v>
      </c>
      <c r="E60" t="s">
        <v>61</v>
      </c>
      <c r="I60" t="str">
        <f t="shared" si="0"/>
        <v>OUTROS CRÉDITOS</v>
      </c>
    </row>
    <row r="61" spans="1:9" x14ac:dyDescent="0.25">
      <c r="A61">
        <v>19</v>
      </c>
      <c r="B61" t="s">
        <v>509</v>
      </c>
      <c r="F61" t="s">
        <v>1140</v>
      </c>
      <c r="I61" t="str">
        <f t="shared" si="0"/>
        <v>BANCOS CONTA VINCULADA</v>
      </c>
    </row>
    <row r="62" spans="1:9" x14ac:dyDescent="0.25">
      <c r="A62">
        <v>20</v>
      </c>
      <c r="B62" t="s">
        <v>510</v>
      </c>
      <c r="F62" t="s">
        <v>1141</v>
      </c>
      <c r="I62" t="str">
        <f t="shared" si="0"/>
        <v>TÍTULOS A RECEBER</v>
      </c>
    </row>
    <row r="63" spans="1:9" x14ac:dyDescent="0.25">
      <c r="A63">
        <v>21</v>
      </c>
      <c r="B63" t="s">
        <v>205</v>
      </c>
      <c r="F63" t="s">
        <v>206</v>
      </c>
      <c r="I63" t="str">
        <f t="shared" si="0"/>
        <v>CHEQUES EM COBRANÇA</v>
      </c>
    </row>
    <row r="64" spans="1:9" x14ac:dyDescent="0.25">
      <c r="A64">
        <v>22</v>
      </c>
      <c r="B64" t="s">
        <v>511</v>
      </c>
      <c r="F64" t="s">
        <v>1142</v>
      </c>
      <c r="I64" t="str">
        <f t="shared" si="0"/>
        <v>DIVIDENDOS A RECEBER</v>
      </c>
    </row>
    <row r="65" spans="1:9" x14ac:dyDescent="0.25">
      <c r="A65">
        <v>23</v>
      </c>
      <c r="B65" t="s">
        <v>207</v>
      </c>
      <c r="F65" t="s">
        <v>208</v>
      </c>
      <c r="I65" t="str">
        <f t="shared" si="0"/>
        <v>ADIANTAMENTOS A FORNECEDORES</v>
      </c>
    </row>
    <row r="66" spans="1:9" x14ac:dyDescent="0.25">
      <c r="A66">
        <v>1002</v>
      </c>
      <c r="B66" t="s">
        <v>209</v>
      </c>
      <c r="G66" t="s">
        <v>1181</v>
      </c>
      <c r="I66" t="str">
        <f t="shared" si="0"/>
        <v>DIVERSOS</v>
      </c>
    </row>
    <row r="67" spans="1:9" x14ac:dyDescent="0.25">
      <c r="A67">
        <v>24</v>
      </c>
      <c r="B67" t="s">
        <v>210</v>
      </c>
      <c r="F67" t="s">
        <v>211</v>
      </c>
      <c r="I67" t="str">
        <f t="shared" si="0"/>
        <v>ADIANTAMENTO A EMPREGADOS</v>
      </c>
    </row>
    <row r="68" spans="1:9" x14ac:dyDescent="0.25">
      <c r="A68">
        <v>25</v>
      </c>
      <c r="B68" t="s">
        <v>212</v>
      </c>
      <c r="G68" t="s">
        <v>213</v>
      </c>
      <c r="I68" t="str">
        <f t="shared" si="0"/>
        <v>ANTECIPAÇÃO SALARIAL</v>
      </c>
    </row>
    <row r="69" spans="1:9" x14ac:dyDescent="0.25">
      <c r="A69">
        <v>26</v>
      </c>
      <c r="B69" t="s">
        <v>214</v>
      </c>
      <c r="G69" t="s">
        <v>215</v>
      </c>
      <c r="I69" t="str">
        <f t="shared" si="0"/>
        <v>ADIANTAMENTO DE FERIAS</v>
      </c>
    </row>
    <row r="70" spans="1:9" x14ac:dyDescent="0.25">
      <c r="A70">
        <v>556</v>
      </c>
      <c r="B70" t="s">
        <v>512</v>
      </c>
      <c r="G70" t="s">
        <v>1143</v>
      </c>
      <c r="I70" t="str">
        <f t="shared" si="0"/>
        <v>ADIANTAMENTO DE VIAGENS</v>
      </c>
    </row>
    <row r="71" spans="1:9" x14ac:dyDescent="0.25">
      <c r="A71">
        <v>557</v>
      </c>
      <c r="B71" t="s">
        <v>513</v>
      </c>
      <c r="G71" t="s">
        <v>1144</v>
      </c>
      <c r="I71" t="str">
        <f t="shared" si="0"/>
        <v>ADIANTAMENTO DE DESPESAS</v>
      </c>
    </row>
    <row r="72" spans="1:9" x14ac:dyDescent="0.25">
      <c r="A72">
        <v>1360</v>
      </c>
      <c r="B72" t="s">
        <v>1911</v>
      </c>
      <c r="G72" t="s">
        <v>1926</v>
      </c>
      <c r="I72" t="str">
        <f t="shared" si="0"/>
        <v>ADIANTAMENTO 13º SALÁRIO</v>
      </c>
    </row>
    <row r="73" spans="1:9" x14ac:dyDescent="0.25">
      <c r="A73">
        <v>27</v>
      </c>
      <c r="B73" t="s">
        <v>514</v>
      </c>
      <c r="F73" t="s">
        <v>1145</v>
      </c>
      <c r="I73" t="str">
        <f t="shared" ref="I73:I136" si="1">IF(H73&lt;&gt;"",H73,IF(G73&lt;&gt;"",G73,IF(F73&lt;&gt;"",F73,IF(E73&lt;&gt;"",E73,IF(D73&lt;&gt;"",D73,IF(C73&lt;&gt;"",C73,B73))))))</f>
        <v>EMPRÉSTIMO A EMPREGADOS</v>
      </c>
    </row>
    <row r="74" spans="1:9" x14ac:dyDescent="0.25">
      <c r="A74">
        <v>28</v>
      </c>
      <c r="B74" t="s">
        <v>216</v>
      </c>
      <c r="F74" t="s">
        <v>62</v>
      </c>
      <c r="I74" t="str">
        <f t="shared" si="1"/>
        <v>TRIBUTOS A RECUPERAR/COMPENSAR</v>
      </c>
    </row>
    <row r="75" spans="1:9" x14ac:dyDescent="0.25">
      <c r="A75">
        <v>29</v>
      </c>
      <c r="B75" t="s">
        <v>515</v>
      </c>
      <c r="G75" t="s">
        <v>1146</v>
      </c>
      <c r="I75" t="str">
        <f t="shared" si="1"/>
        <v>IPI A RECUPERAR</v>
      </c>
    </row>
    <row r="76" spans="1:9" x14ac:dyDescent="0.25">
      <c r="A76">
        <v>30</v>
      </c>
      <c r="B76" t="s">
        <v>217</v>
      </c>
      <c r="G76" t="s">
        <v>63</v>
      </c>
      <c r="I76" t="str">
        <f t="shared" si="1"/>
        <v>ICMS A RECUPERAR</v>
      </c>
    </row>
    <row r="77" spans="1:9" x14ac:dyDescent="0.25">
      <c r="A77">
        <v>31</v>
      </c>
      <c r="B77" t="s">
        <v>516</v>
      </c>
      <c r="G77" t="s">
        <v>1147</v>
      </c>
      <c r="I77" t="str">
        <f t="shared" si="1"/>
        <v>PIS A RECUPERAR</v>
      </c>
    </row>
    <row r="78" spans="1:9" x14ac:dyDescent="0.25">
      <c r="A78">
        <v>32</v>
      </c>
      <c r="B78" t="s">
        <v>517</v>
      </c>
      <c r="G78" t="s">
        <v>1148</v>
      </c>
      <c r="I78" t="str">
        <f t="shared" si="1"/>
        <v>COFINS A RECUPERAR</v>
      </c>
    </row>
    <row r="79" spans="1:9" x14ac:dyDescent="0.25">
      <c r="A79">
        <v>33</v>
      </c>
      <c r="B79" t="s">
        <v>518</v>
      </c>
      <c r="G79" t="s">
        <v>1149</v>
      </c>
      <c r="I79" t="str">
        <f t="shared" si="1"/>
        <v>IMPOSTO DE RENDA RETIDO NA FONTE</v>
      </c>
    </row>
    <row r="80" spans="1:9" x14ac:dyDescent="0.25">
      <c r="A80">
        <v>34</v>
      </c>
      <c r="B80" t="s">
        <v>519</v>
      </c>
      <c r="G80" t="s">
        <v>1150</v>
      </c>
      <c r="I80" t="str">
        <f t="shared" si="1"/>
        <v>IRPJ - ESTIMATIVA</v>
      </c>
    </row>
    <row r="81" spans="1:9" x14ac:dyDescent="0.25">
      <c r="A81">
        <v>35</v>
      </c>
      <c r="B81" t="s">
        <v>520</v>
      </c>
      <c r="G81" t="s">
        <v>1151</v>
      </c>
      <c r="I81" t="str">
        <f t="shared" si="1"/>
        <v>IRPJ - SALDO NEGATIVO</v>
      </c>
    </row>
    <row r="82" spans="1:9" x14ac:dyDescent="0.25">
      <c r="A82">
        <v>36</v>
      </c>
      <c r="B82" t="s">
        <v>521</v>
      </c>
      <c r="G82" t="s">
        <v>1152</v>
      </c>
      <c r="I82" t="str">
        <f t="shared" si="1"/>
        <v>CSLL - RETIDO NA FONTE</v>
      </c>
    </row>
    <row r="83" spans="1:9" x14ac:dyDescent="0.25">
      <c r="A83">
        <v>37</v>
      </c>
      <c r="B83" t="s">
        <v>522</v>
      </c>
      <c r="G83" t="s">
        <v>1153</v>
      </c>
      <c r="I83" t="str">
        <f t="shared" si="1"/>
        <v>CSLL - ESTIMATIVA</v>
      </c>
    </row>
    <row r="84" spans="1:9" x14ac:dyDescent="0.25">
      <c r="A84">
        <v>38</v>
      </c>
      <c r="B84" t="s">
        <v>523</v>
      </c>
      <c r="G84" t="s">
        <v>1154</v>
      </c>
      <c r="I84" t="str">
        <f t="shared" si="1"/>
        <v>CSLL - SALDO NEGATIVO</v>
      </c>
    </row>
    <row r="85" spans="1:9" x14ac:dyDescent="0.25">
      <c r="A85">
        <v>39</v>
      </c>
      <c r="B85" t="s">
        <v>524</v>
      </c>
      <c r="G85" t="s">
        <v>1155</v>
      </c>
      <c r="I85" t="str">
        <f t="shared" si="1"/>
        <v>PIS RETIDO NA FONTE</v>
      </c>
    </row>
    <row r="86" spans="1:9" x14ac:dyDescent="0.25">
      <c r="A86">
        <v>40</v>
      </c>
      <c r="B86" t="s">
        <v>525</v>
      </c>
      <c r="G86" t="s">
        <v>1927</v>
      </c>
      <c r="I86" t="str">
        <f t="shared" si="1"/>
        <v>COFINS RETIDO NA FONTE</v>
      </c>
    </row>
    <row r="87" spans="1:9" x14ac:dyDescent="0.25">
      <c r="A87">
        <v>41</v>
      </c>
      <c r="B87" t="s">
        <v>526</v>
      </c>
      <c r="G87" t="s">
        <v>1156</v>
      </c>
      <c r="I87" t="str">
        <f t="shared" si="1"/>
        <v>IPI A COMPENSAR</v>
      </c>
    </row>
    <row r="88" spans="1:9" x14ac:dyDescent="0.25">
      <c r="A88">
        <v>42</v>
      </c>
      <c r="B88" t="s">
        <v>527</v>
      </c>
      <c r="G88" t="s">
        <v>1157</v>
      </c>
      <c r="I88" t="str">
        <f t="shared" si="1"/>
        <v>CONTRIBUIÇÃO PREVIDENCIARIA RETIDA NA FONTE</v>
      </c>
    </row>
    <row r="89" spans="1:9" x14ac:dyDescent="0.25">
      <c r="A89">
        <v>43</v>
      </c>
      <c r="B89" t="s">
        <v>528</v>
      </c>
      <c r="G89" t="s">
        <v>1158</v>
      </c>
      <c r="I89" t="str">
        <f t="shared" si="1"/>
        <v>PIS RECUPERAR - CRÉDITO PRESUMIDO</v>
      </c>
    </row>
    <row r="90" spans="1:9" x14ac:dyDescent="0.25">
      <c r="A90">
        <v>476</v>
      </c>
      <c r="B90" t="s">
        <v>218</v>
      </c>
      <c r="G90" t="s">
        <v>64</v>
      </c>
      <c r="I90" t="str">
        <f t="shared" si="1"/>
        <v>ISS A RECUPERAR</v>
      </c>
    </row>
    <row r="91" spans="1:9" x14ac:dyDescent="0.25">
      <c r="A91">
        <v>558</v>
      </c>
      <c r="B91" t="s">
        <v>529</v>
      </c>
      <c r="G91" t="s">
        <v>1159</v>
      </c>
      <c r="I91" t="str">
        <f t="shared" si="1"/>
        <v>BÔNUS DE ADIMPLÊNCIA FISCAL A COMPENSAR</v>
      </c>
    </row>
    <row r="92" spans="1:9" x14ac:dyDescent="0.25">
      <c r="A92">
        <v>948</v>
      </c>
      <c r="B92" t="s">
        <v>219</v>
      </c>
      <c r="G92" t="s">
        <v>220</v>
      </c>
      <c r="I92" t="str">
        <f t="shared" si="1"/>
        <v>I.R.R.F. S/ APLICAÇÕES</v>
      </c>
    </row>
    <row r="93" spans="1:9" x14ac:dyDescent="0.25">
      <c r="A93">
        <v>44</v>
      </c>
      <c r="B93" t="s">
        <v>530</v>
      </c>
      <c r="F93" t="s">
        <v>1160</v>
      </c>
      <c r="I93" t="str">
        <f t="shared" si="1"/>
        <v>JUROS SOBRE O CAPITAL PRÓPRIO</v>
      </c>
    </row>
    <row r="94" spans="1:9" x14ac:dyDescent="0.25">
      <c r="A94">
        <v>45</v>
      </c>
      <c r="B94" t="s">
        <v>531</v>
      </c>
      <c r="G94" t="s">
        <v>1161</v>
      </c>
      <c r="I94" t="str">
        <f t="shared" si="1"/>
        <v>JUROS SOBRE O CAPITAL PRÓPRIO A RECEBER</v>
      </c>
    </row>
    <row r="95" spans="1:9" x14ac:dyDescent="0.25">
      <c r="A95">
        <v>555</v>
      </c>
      <c r="B95" t="s">
        <v>532</v>
      </c>
      <c r="F95" t="s">
        <v>1162</v>
      </c>
      <c r="I95" t="str">
        <f t="shared" si="1"/>
        <v>ANTECIPAÇÃO DE LUCROS AOS SOCIOS</v>
      </c>
    </row>
    <row r="96" spans="1:9" x14ac:dyDescent="0.25">
      <c r="A96">
        <v>554</v>
      </c>
      <c r="B96" t="s">
        <v>533</v>
      </c>
      <c r="G96" t="s">
        <v>1163</v>
      </c>
      <c r="I96" t="str">
        <f t="shared" si="1"/>
        <v>ANTECIPAÇÃO DE LUCROS</v>
      </c>
    </row>
    <row r="97" spans="1:9" x14ac:dyDescent="0.25">
      <c r="A97">
        <v>46</v>
      </c>
      <c r="B97" t="s">
        <v>534</v>
      </c>
      <c r="E97" t="s">
        <v>1164</v>
      </c>
      <c r="I97" t="str">
        <f t="shared" si="1"/>
        <v>APLICAÇÕES FINANCEIRAS</v>
      </c>
    </row>
    <row r="98" spans="1:9" x14ac:dyDescent="0.25">
      <c r="A98">
        <v>47</v>
      </c>
      <c r="B98" t="s">
        <v>535</v>
      </c>
      <c r="F98" t="s">
        <v>1165</v>
      </c>
      <c r="I98" t="str">
        <f t="shared" si="1"/>
        <v>APLICAÇÕES FINANCEIRAS REND. PREFIXADOS</v>
      </c>
    </row>
    <row r="99" spans="1:9" x14ac:dyDescent="0.25">
      <c r="A99">
        <v>48</v>
      </c>
      <c r="B99" t="s">
        <v>536</v>
      </c>
      <c r="G99" t="s">
        <v>1166</v>
      </c>
      <c r="I99" t="str">
        <f t="shared" si="1"/>
        <v>APLICAÇÕES BANCO DO BRASIL</v>
      </c>
    </row>
    <row r="100" spans="1:9" x14ac:dyDescent="0.25">
      <c r="A100">
        <v>49</v>
      </c>
      <c r="B100" t="s">
        <v>537</v>
      </c>
      <c r="F100" t="s">
        <v>1167</v>
      </c>
      <c r="I100" t="str">
        <f t="shared" si="1"/>
        <v>AÇÕES</v>
      </c>
    </row>
    <row r="101" spans="1:9" x14ac:dyDescent="0.25">
      <c r="A101">
        <v>50</v>
      </c>
      <c r="B101" t="s">
        <v>538</v>
      </c>
      <c r="F101" t="s">
        <v>1168</v>
      </c>
      <c r="I101" t="str">
        <f t="shared" si="1"/>
        <v>DEBÊNTURES</v>
      </c>
    </row>
    <row r="102" spans="1:9" x14ac:dyDescent="0.25">
      <c r="A102">
        <v>51</v>
      </c>
      <c r="B102" t="s">
        <v>539</v>
      </c>
      <c r="G102" t="s">
        <v>1169</v>
      </c>
      <c r="I102" t="str">
        <f t="shared" si="1"/>
        <v>VALOR NOMINAL</v>
      </c>
    </row>
    <row r="103" spans="1:9" x14ac:dyDescent="0.25">
      <c r="A103">
        <v>52</v>
      </c>
      <c r="B103" t="s">
        <v>540</v>
      </c>
      <c r="G103" t="s">
        <v>1170</v>
      </c>
      <c r="I103" t="str">
        <f t="shared" si="1"/>
        <v>(-) DESÁGIO A APROPRIAR</v>
      </c>
    </row>
    <row r="104" spans="1:9" x14ac:dyDescent="0.25">
      <c r="A104">
        <v>53</v>
      </c>
      <c r="B104" t="s">
        <v>221</v>
      </c>
      <c r="E104" t="s">
        <v>65</v>
      </c>
      <c r="I104" t="str">
        <f t="shared" si="1"/>
        <v>ESTOQUE</v>
      </c>
    </row>
    <row r="105" spans="1:9" x14ac:dyDescent="0.25">
      <c r="A105">
        <v>54</v>
      </c>
      <c r="B105" t="s">
        <v>222</v>
      </c>
      <c r="F105" t="s">
        <v>66</v>
      </c>
      <c r="I105" t="str">
        <f t="shared" si="1"/>
        <v>ESTOQUES DE MERCADORIAS</v>
      </c>
    </row>
    <row r="106" spans="1:9" x14ac:dyDescent="0.25">
      <c r="A106">
        <v>55</v>
      </c>
      <c r="B106" t="s">
        <v>541</v>
      </c>
      <c r="G106" t="s">
        <v>67</v>
      </c>
      <c r="I106" t="str">
        <f t="shared" si="1"/>
        <v>MERCADORIAS PARA REVENDA</v>
      </c>
    </row>
    <row r="107" spans="1:9" x14ac:dyDescent="0.25">
      <c r="A107">
        <v>559</v>
      </c>
      <c r="B107" t="s">
        <v>542</v>
      </c>
      <c r="F107" t="s">
        <v>1171</v>
      </c>
      <c r="I107" t="str">
        <f t="shared" si="1"/>
        <v>ESTOQUES DE INSUMOS</v>
      </c>
    </row>
    <row r="108" spans="1:9" x14ac:dyDescent="0.25">
      <c r="A108">
        <v>560</v>
      </c>
      <c r="B108" t="s">
        <v>543</v>
      </c>
      <c r="G108" t="s">
        <v>1172</v>
      </c>
      <c r="I108" t="str">
        <f t="shared" si="1"/>
        <v>MATERIA PRIMA</v>
      </c>
    </row>
    <row r="109" spans="1:9" x14ac:dyDescent="0.25">
      <c r="A109">
        <v>61</v>
      </c>
      <c r="B109" t="s">
        <v>544</v>
      </c>
      <c r="F109" t="s">
        <v>1173</v>
      </c>
      <c r="I109" t="str">
        <f t="shared" si="1"/>
        <v>ESTOQUE SERVIÇOS</v>
      </c>
    </row>
    <row r="110" spans="1:9" x14ac:dyDescent="0.25">
      <c r="A110">
        <v>62</v>
      </c>
      <c r="B110" t="s">
        <v>545</v>
      </c>
      <c r="G110" t="s">
        <v>1174</v>
      </c>
      <c r="I110" t="str">
        <f t="shared" si="1"/>
        <v>MATERIAIS APLICADOS NA PRODUÇÃO DO SERVIÇO</v>
      </c>
    </row>
    <row r="111" spans="1:9" x14ac:dyDescent="0.25">
      <c r="A111">
        <v>63</v>
      </c>
      <c r="B111" t="s">
        <v>546</v>
      </c>
      <c r="G111" t="s">
        <v>1175</v>
      </c>
      <c r="I111" t="str">
        <f t="shared" si="1"/>
        <v>SERVIÇOS EM ANDAMENTO</v>
      </c>
    </row>
    <row r="112" spans="1:9" x14ac:dyDescent="0.25">
      <c r="A112">
        <v>64</v>
      </c>
      <c r="B112" t="s">
        <v>547</v>
      </c>
      <c r="F112" t="s">
        <v>1176</v>
      </c>
      <c r="I112" t="str">
        <f t="shared" si="1"/>
        <v>ESTOQUE DE IMOVEIS</v>
      </c>
    </row>
    <row r="113" spans="1:9" x14ac:dyDescent="0.25">
      <c r="A113">
        <v>565</v>
      </c>
      <c r="B113" t="s">
        <v>548</v>
      </c>
      <c r="F113" t="s">
        <v>1177</v>
      </c>
      <c r="I113" t="str">
        <f t="shared" si="1"/>
        <v>ESTOQUES OUTROS</v>
      </c>
    </row>
    <row r="114" spans="1:9" x14ac:dyDescent="0.25">
      <c r="A114">
        <v>65</v>
      </c>
      <c r="B114" t="s">
        <v>223</v>
      </c>
      <c r="E114" t="s">
        <v>68</v>
      </c>
      <c r="I114" t="str">
        <f t="shared" si="1"/>
        <v>DESPESAS PAGAS ANTECIPADAMENTE</v>
      </c>
    </row>
    <row r="115" spans="1:9" x14ac:dyDescent="0.25">
      <c r="A115">
        <v>66</v>
      </c>
      <c r="B115" t="s">
        <v>224</v>
      </c>
      <c r="F115" t="s">
        <v>69</v>
      </c>
      <c r="I115" t="str">
        <f t="shared" si="1"/>
        <v>DESPESAS DE MESES SEGUINTES</v>
      </c>
    </row>
    <row r="116" spans="1:9" x14ac:dyDescent="0.25">
      <c r="A116">
        <v>67</v>
      </c>
      <c r="B116" t="s">
        <v>225</v>
      </c>
      <c r="G116" t="s">
        <v>70</v>
      </c>
      <c r="I116" t="str">
        <f t="shared" si="1"/>
        <v>PRÊMIOS DE SEGUROS A APROPRIAR</v>
      </c>
    </row>
    <row r="117" spans="1:9" x14ac:dyDescent="0.25">
      <c r="A117">
        <v>68</v>
      </c>
      <c r="B117" t="s">
        <v>549</v>
      </c>
      <c r="G117" t="s">
        <v>1178</v>
      </c>
      <c r="I117" t="str">
        <f t="shared" si="1"/>
        <v>ASSINATURAS E ANUIDADES</v>
      </c>
    </row>
    <row r="118" spans="1:9" x14ac:dyDescent="0.25">
      <c r="A118">
        <v>561</v>
      </c>
      <c r="B118" t="s">
        <v>550</v>
      </c>
      <c r="G118" t="s">
        <v>1179</v>
      </c>
      <c r="I118" t="str">
        <f t="shared" si="1"/>
        <v>ALUGUEIS PAGOS ANTECIPADAMENTE</v>
      </c>
    </row>
    <row r="119" spans="1:9" x14ac:dyDescent="0.25">
      <c r="A119">
        <v>562</v>
      </c>
      <c r="B119" t="s">
        <v>551</v>
      </c>
      <c r="G119" t="s">
        <v>1180</v>
      </c>
      <c r="I119" t="str">
        <f t="shared" si="1"/>
        <v>ADIANTAMENTO FINAME</v>
      </c>
    </row>
    <row r="120" spans="1:9" x14ac:dyDescent="0.25">
      <c r="A120">
        <v>563</v>
      </c>
      <c r="B120" t="s">
        <v>226</v>
      </c>
      <c r="F120" t="s">
        <v>227</v>
      </c>
      <c r="I120" t="str">
        <f t="shared" si="1"/>
        <v>DEPOSITOS JUDICIAIS</v>
      </c>
    </row>
    <row r="121" spans="1:9" x14ac:dyDescent="0.25">
      <c r="A121">
        <v>564</v>
      </c>
      <c r="B121" t="s">
        <v>228</v>
      </c>
      <c r="G121" t="s">
        <v>229</v>
      </c>
      <c r="I121" t="str">
        <f t="shared" si="1"/>
        <v>TRABALHISTAS</v>
      </c>
    </row>
    <row r="122" spans="1:9" x14ac:dyDescent="0.25">
      <c r="A122">
        <v>501</v>
      </c>
      <c r="B122" t="s">
        <v>230</v>
      </c>
      <c r="D122" t="s">
        <v>71</v>
      </c>
      <c r="I122" t="str">
        <f t="shared" si="1"/>
        <v>ATIVO NÃO-CIRCULANTE</v>
      </c>
    </row>
    <row r="123" spans="1:9" x14ac:dyDescent="0.25">
      <c r="A123">
        <v>69</v>
      </c>
      <c r="B123" t="s">
        <v>231</v>
      </c>
      <c r="E123" t="s">
        <v>1183</v>
      </c>
      <c r="I123" t="str">
        <f t="shared" si="1"/>
        <v>ATIVO REALIZÁVEL A LONGO PRAZO</v>
      </c>
    </row>
    <row r="124" spans="1:9" x14ac:dyDescent="0.25">
      <c r="A124">
        <v>70</v>
      </c>
      <c r="B124" t="s">
        <v>552</v>
      </c>
      <c r="F124" t="s">
        <v>57</v>
      </c>
      <c r="I124" t="str">
        <f t="shared" si="1"/>
        <v>CLIENTES</v>
      </c>
    </row>
    <row r="125" spans="1:9" x14ac:dyDescent="0.25">
      <c r="A125">
        <v>71</v>
      </c>
      <c r="B125" t="s">
        <v>553</v>
      </c>
      <c r="G125" t="s">
        <v>58</v>
      </c>
      <c r="I125" t="str">
        <f t="shared" si="1"/>
        <v>DUPLICATAS A RECEBER</v>
      </c>
    </row>
    <row r="126" spans="1:9" x14ac:dyDescent="0.25">
      <c r="A126">
        <v>72</v>
      </c>
      <c r="B126" t="s">
        <v>1912</v>
      </c>
      <c r="H126" t="s">
        <v>45</v>
      </c>
      <c r="I126" t="str">
        <f t="shared" si="1"/>
        <v>CLIENTE</v>
      </c>
    </row>
    <row r="127" spans="1:9" x14ac:dyDescent="0.25">
      <c r="A127">
        <v>73</v>
      </c>
      <c r="B127" t="s">
        <v>1913</v>
      </c>
      <c r="H127" t="s">
        <v>1184</v>
      </c>
      <c r="I127" t="str">
        <f t="shared" si="1"/>
        <v>CLIENTE C</v>
      </c>
    </row>
    <row r="128" spans="1:9" x14ac:dyDescent="0.25">
      <c r="A128">
        <v>74</v>
      </c>
      <c r="B128" t="s">
        <v>554</v>
      </c>
      <c r="G128" t="s">
        <v>60</v>
      </c>
      <c r="I128" t="str">
        <f t="shared" si="1"/>
        <v>(-) DUPLICATAS DESCONTADAS</v>
      </c>
    </row>
    <row r="129" spans="1:9" x14ac:dyDescent="0.25">
      <c r="A129">
        <v>75</v>
      </c>
      <c r="B129" t="s">
        <v>555</v>
      </c>
      <c r="G129" t="s">
        <v>1185</v>
      </c>
      <c r="I129" t="str">
        <f t="shared" si="1"/>
        <v>(-) CRÉDITOS VENCIDOS E NÃO LIQUIDADOS</v>
      </c>
    </row>
    <row r="130" spans="1:9" x14ac:dyDescent="0.25">
      <c r="A130">
        <v>76</v>
      </c>
      <c r="B130" t="s">
        <v>232</v>
      </c>
      <c r="F130" t="s">
        <v>61</v>
      </c>
      <c r="I130" t="str">
        <f t="shared" si="1"/>
        <v>OUTROS CRÉDITOS</v>
      </c>
    </row>
    <row r="131" spans="1:9" x14ac:dyDescent="0.25">
      <c r="A131">
        <v>77</v>
      </c>
      <c r="B131" t="s">
        <v>556</v>
      </c>
      <c r="G131" t="s">
        <v>1141</v>
      </c>
      <c r="I131" t="str">
        <f t="shared" si="1"/>
        <v>TÍTULOS A RECEBER</v>
      </c>
    </row>
    <row r="132" spans="1:9" x14ac:dyDescent="0.25">
      <c r="A132">
        <v>78</v>
      </c>
      <c r="B132" t="s">
        <v>557</v>
      </c>
      <c r="G132" t="s">
        <v>1140</v>
      </c>
      <c r="I132" t="str">
        <f t="shared" si="1"/>
        <v>BANCOS CONTA VINCULADA</v>
      </c>
    </row>
    <row r="133" spans="1:9" x14ac:dyDescent="0.25">
      <c r="A133">
        <v>79</v>
      </c>
      <c r="B133" t="s">
        <v>233</v>
      </c>
      <c r="G133" t="s">
        <v>1186</v>
      </c>
      <c r="I133" t="str">
        <f t="shared" si="1"/>
        <v>EMPRESTIMOS A COLIGADAS</v>
      </c>
    </row>
    <row r="134" spans="1:9" x14ac:dyDescent="0.25">
      <c r="A134">
        <v>80</v>
      </c>
      <c r="B134" t="s">
        <v>558</v>
      </c>
      <c r="G134" t="s">
        <v>1187</v>
      </c>
      <c r="I134" t="str">
        <f t="shared" si="1"/>
        <v>EMPRESTIMOS AOS SÓCIOS</v>
      </c>
    </row>
    <row r="135" spans="1:9" x14ac:dyDescent="0.25">
      <c r="A135">
        <v>81</v>
      </c>
      <c r="B135" t="s">
        <v>559</v>
      </c>
      <c r="G135" t="s">
        <v>1164</v>
      </c>
      <c r="I135" t="str">
        <f t="shared" si="1"/>
        <v>APLICAÇÕES FINANCEIRAS</v>
      </c>
    </row>
    <row r="136" spans="1:9" x14ac:dyDescent="0.25">
      <c r="A136">
        <v>566</v>
      </c>
      <c r="B136" t="s">
        <v>560</v>
      </c>
      <c r="H136" t="s">
        <v>185</v>
      </c>
      <c r="I136" t="str">
        <f t="shared" si="1"/>
        <v>BANCO DO BRASIL S/A.</v>
      </c>
    </row>
    <row r="137" spans="1:9" x14ac:dyDescent="0.25">
      <c r="A137">
        <v>567</v>
      </c>
      <c r="B137" t="s">
        <v>561</v>
      </c>
      <c r="H137" t="s">
        <v>1123</v>
      </c>
      <c r="I137" t="str">
        <f t="shared" ref="I137:I200" si="2">IF(H137&lt;&gt;"",H137,IF(G137&lt;&gt;"",G137,IF(F137&lt;&gt;"",F137,IF(E137&lt;&gt;"",E137,IF(D137&lt;&gt;"",D137,IF(C137&lt;&gt;"",C137,B137))))))</f>
        <v>(-) BANCO DO BRASIL S/A.</v>
      </c>
    </row>
    <row r="138" spans="1:9" x14ac:dyDescent="0.25">
      <c r="A138">
        <v>568</v>
      </c>
      <c r="B138" t="s">
        <v>562</v>
      </c>
      <c r="H138" t="s">
        <v>187</v>
      </c>
      <c r="I138" t="str">
        <f t="shared" si="2"/>
        <v>BANCO BRADESCO S/A.</v>
      </c>
    </row>
    <row r="139" spans="1:9" x14ac:dyDescent="0.25">
      <c r="A139">
        <v>569</v>
      </c>
      <c r="B139" t="s">
        <v>563</v>
      </c>
      <c r="H139" t="s">
        <v>1124</v>
      </c>
      <c r="I139" t="str">
        <f t="shared" si="2"/>
        <v>(-) BANCO BRADESCO S/A.</v>
      </c>
    </row>
    <row r="140" spans="1:9" x14ac:dyDescent="0.25">
      <c r="A140">
        <v>570</v>
      </c>
      <c r="B140" t="s">
        <v>564</v>
      </c>
      <c r="H140" t="s">
        <v>189</v>
      </c>
      <c r="I140" t="str">
        <f t="shared" si="2"/>
        <v>BANCO ITAU UNIBANCO S/A.</v>
      </c>
    </row>
    <row r="141" spans="1:9" x14ac:dyDescent="0.25">
      <c r="A141">
        <v>571</v>
      </c>
      <c r="B141" t="s">
        <v>565</v>
      </c>
      <c r="H141" t="s">
        <v>198</v>
      </c>
      <c r="I141" t="str">
        <f t="shared" si="2"/>
        <v>(-) BANCO ITAU UNIBANCO S/A.</v>
      </c>
    </row>
    <row r="142" spans="1:9" x14ac:dyDescent="0.25">
      <c r="A142">
        <v>572</v>
      </c>
      <c r="B142" t="s">
        <v>566</v>
      </c>
      <c r="H142" t="s">
        <v>56</v>
      </c>
      <c r="I142" t="str">
        <f t="shared" si="2"/>
        <v>BANCO SANTANDER S/A.</v>
      </c>
    </row>
    <row r="143" spans="1:9" x14ac:dyDescent="0.25">
      <c r="A143">
        <v>573</v>
      </c>
      <c r="B143" t="s">
        <v>567</v>
      </c>
      <c r="H143" t="s">
        <v>1125</v>
      </c>
      <c r="I143" t="str">
        <f t="shared" si="2"/>
        <v>(-) BANCO SANTANDER S/A.</v>
      </c>
    </row>
    <row r="144" spans="1:9" x14ac:dyDescent="0.25">
      <c r="A144">
        <v>574</v>
      </c>
      <c r="B144" t="s">
        <v>568</v>
      </c>
      <c r="H144" t="s">
        <v>1118</v>
      </c>
      <c r="I144" t="str">
        <f t="shared" si="2"/>
        <v>BANCO HSBC S/A.</v>
      </c>
    </row>
    <row r="145" spans="1:9" x14ac:dyDescent="0.25">
      <c r="A145">
        <v>575</v>
      </c>
      <c r="B145" t="s">
        <v>569</v>
      </c>
      <c r="H145" t="s">
        <v>1126</v>
      </c>
      <c r="I145" t="str">
        <f t="shared" si="2"/>
        <v>(-) BANCO HSBC S/A.</v>
      </c>
    </row>
    <row r="146" spans="1:9" x14ac:dyDescent="0.25">
      <c r="A146">
        <v>576</v>
      </c>
      <c r="B146" t="s">
        <v>570</v>
      </c>
      <c r="H146" t="s">
        <v>192</v>
      </c>
      <c r="I146" t="str">
        <f t="shared" si="2"/>
        <v>BANCO SAFRA S/A.</v>
      </c>
    </row>
    <row r="147" spans="1:9" x14ac:dyDescent="0.25">
      <c r="A147">
        <v>577</v>
      </c>
      <c r="B147" t="s">
        <v>571</v>
      </c>
      <c r="H147" t="s">
        <v>1127</v>
      </c>
      <c r="I147" t="str">
        <f t="shared" si="2"/>
        <v>(-) BANCO SAFRA S/A.</v>
      </c>
    </row>
    <row r="148" spans="1:9" x14ac:dyDescent="0.25">
      <c r="A148">
        <v>578</v>
      </c>
      <c r="B148" t="s">
        <v>572</v>
      </c>
      <c r="H148" t="s">
        <v>1119</v>
      </c>
      <c r="I148" t="str">
        <f t="shared" si="2"/>
        <v>CAIXA ECONOMICA FEDERAL</v>
      </c>
    </row>
    <row r="149" spans="1:9" x14ac:dyDescent="0.25">
      <c r="A149">
        <v>579</v>
      </c>
      <c r="B149" t="s">
        <v>573</v>
      </c>
      <c r="H149" t="s">
        <v>1128</v>
      </c>
      <c r="I149" t="str">
        <f t="shared" si="2"/>
        <v>(-) CAIXA ECONOMICA FEDERAL</v>
      </c>
    </row>
    <row r="150" spans="1:9" x14ac:dyDescent="0.25">
      <c r="A150">
        <v>580</v>
      </c>
      <c r="B150" t="s">
        <v>574</v>
      </c>
      <c r="H150" t="s">
        <v>1188</v>
      </c>
      <c r="I150" t="str">
        <f t="shared" si="2"/>
        <v>UNICRED COOPERATIVA DE CRÉDITO</v>
      </c>
    </row>
    <row r="151" spans="1:9" x14ac:dyDescent="0.25">
      <c r="A151">
        <v>581</v>
      </c>
      <c r="B151" t="s">
        <v>575</v>
      </c>
      <c r="H151" t="s">
        <v>1189</v>
      </c>
      <c r="I151" t="str">
        <f t="shared" si="2"/>
        <v>(-) UNICRED COOPERATIVA DE CRÉDITO</v>
      </c>
    </row>
    <row r="152" spans="1:9" x14ac:dyDescent="0.25">
      <c r="A152">
        <v>582</v>
      </c>
      <c r="B152" t="s">
        <v>576</v>
      </c>
      <c r="H152" t="s">
        <v>1121</v>
      </c>
      <c r="I152" t="str">
        <f t="shared" si="2"/>
        <v>BANCO CITIBANK S/A.</v>
      </c>
    </row>
    <row r="153" spans="1:9" x14ac:dyDescent="0.25">
      <c r="A153">
        <v>583</v>
      </c>
      <c r="B153" t="s">
        <v>577</v>
      </c>
      <c r="H153" t="s">
        <v>1130</v>
      </c>
      <c r="I153" t="str">
        <f t="shared" si="2"/>
        <v>(-) BANCO CITIBANK S/A.</v>
      </c>
    </row>
    <row r="154" spans="1:9" x14ac:dyDescent="0.25">
      <c r="A154">
        <v>584</v>
      </c>
      <c r="B154" t="s">
        <v>578</v>
      </c>
      <c r="H154" t="s">
        <v>1122</v>
      </c>
      <c r="I154" t="str">
        <f t="shared" si="2"/>
        <v>BANCO SOFISA S/A.</v>
      </c>
    </row>
    <row r="155" spans="1:9" x14ac:dyDescent="0.25">
      <c r="A155">
        <v>585</v>
      </c>
      <c r="B155" t="s">
        <v>579</v>
      </c>
      <c r="H155" t="s">
        <v>1190</v>
      </c>
      <c r="I155" t="str">
        <f t="shared" si="2"/>
        <v>(-) BANCO SOFISA S/A.</v>
      </c>
    </row>
    <row r="156" spans="1:9" x14ac:dyDescent="0.25">
      <c r="A156">
        <v>82</v>
      </c>
      <c r="B156" t="s">
        <v>580</v>
      </c>
      <c r="G156" t="s">
        <v>1191</v>
      </c>
      <c r="I156" t="str">
        <f t="shared" si="2"/>
        <v>DEPÓSITOS JUDICIAIS</v>
      </c>
    </row>
    <row r="157" spans="1:9" x14ac:dyDescent="0.25">
      <c r="A157">
        <v>586</v>
      </c>
      <c r="B157" t="s">
        <v>581</v>
      </c>
      <c r="H157" t="s">
        <v>227</v>
      </c>
      <c r="I157" t="str">
        <f t="shared" si="2"/>
        <v>DEPOSITOS JUDICIAIS</v>
      </c>
    </row>
    <row r="158" spans="1:9" x14ac:dyDescent="0.25">
      <c r="A158">
        <v>83</v>
      </c>
      <c r="B158" t="s">
        <v>582</v>
      </c>
      <c r="G158" t="s">
        <v>1192</v>
      </c>
      <c r="I158" t="str">
        <f t="shared" si="2"/>
        <v>EMPRÉSTIMOS COMPULSÓRIOS</v>
      </c>
    </row>
    <row r="159" spans="1:9" x14ac:dyDescent="0.25">
      <c r="A159">
        <v>587</v>
      </c>
      <c r="B159" t="s">
        <v>1914</v>
      </c>
      <c r="H159" t="s">
        <v>1193</v>
      </c>
      <c r="I159" t="str">
        <f t="shared" si="2"/>
        <v>EMPRESTIMO COMPULSORIO S/ VEICULOS</v>
      </c>
    </row>
    <row r="160" spans="1:9" x14ac:dyDescent="0.25">
      <c r="A160">
        <v>84</v>
      </c>
      <c r="B160" t="s">
        <v>583</v>
      </c>
      <c r="G160" t="s">
        <v>1194</v>
      </c>
      <c r="I160" t="str">
        <f t="shared" si="2"/>
        <v>TRIBUTOS A RECUPERAR</v>
      </c>
    </row>
    <row r="161" spans="1:9" x14ac:dyDescent="0.25">
      <c r="A161">
        <v>85</v>
      </c>
      <c r="B161" t="s">
        <v>584</v>
      </c>
      <c r="G161" t="s">
        <v>1195</v>
      </c>
      <c r="I161" t="str">
        <f t="shared" si="2"/>
        <v>DESPESAS PAGAS ANTECIPADAS</v>
      </c>
    </row>
    <row r="162" spans="1:9" x14ac:dyDescent="0.25">
      <c r="A162">
        <v>86</v>
      </c>
      <c r="B162" t="s">
        <v>585</v>
      </c>
      <c r="G162" t="s">
        <v>1196</v>
      </c>
      <c r="I162" t="str">
        <f t="shared" si="2"/>
        <v>DEPÓSITOS POR INCENTIVOS FISCAIS</v>
      </c>
    </row>
    <row r="163" spans="1:9" x14ac:dyDescent="0.25">
      <c r="A163">
        <v>88</v>
      </c>
      <c r="B163" t="s">
        <v>586</v>
      </c>
      <c r="E163" t="s">
        <v>72</v>
      </c>
      <c r="I163" t="str">
        <f t="shared" si="2"/>
        <v>INVESTIMENTOS</v>
      </c>
    </row>
    <row r="164" spans="1:9" x14ac:dyDescent="0.25">
      <c r="A164">
        <v>89</v>
      </c>
      <c r="B164" t="s">
        <v>587</v>
      </c>
      <c r="F164" t="s">
        <v>1197</v>
      </c>
      <c r="I164" t="str">
        <f t="shared" si="2"/>
        <v>CONTROLADAS E COLIGADAS - EQUIV. PATRIM.</v>
      </c>
    </row>
    <row r="165" spans="1:9" x14ac:dyDescent="0.25">
      <c r="A165">
        <v>95</v>
      </c>
      <c r="B165" t="s">
        <v>593</v>
      </c>
      <c r="F165" t="s">
        <v>1203</v>
      </c>
      <c r="I165" t="str">
        <f t="shared" si="2"/>
        <v>CONTROLADAS E COLIGADAS CUSTO CORRIGIDO</v>
      </c>
    </row>
    <row r="166" spans="1:9" x14ac:dyDescent="0.25">
      <c r="A166">
        <v>96</v>
      </c>
      <c r="B166" t="s">
        <v>594</v>
      </c>
      <c r="F166" t="s">
        <v>1204</v>
      </c>
      <c r="I166" t="str">
        <f t="shared" si="2"/>
        <v>OUTRAS PARTICIPAÇÕES SOCIETÁRIAS</v>
      </c>
    </row>
    <row r="167" spans="1:9" x14ac:dyDescent="0.25">
      <c r="A167">
        <v>97</v>
      </c>
      <c r="B167" t="s">
        <v>595</v>
      </c>
      <c r="F167" t="s">
        <v>1205</v>
      </c>
      <c r="I167" t="str">
        <f t="shared" si="2"/>
        <v>PARTICIPAÇÕES POR INCENTIVOS FISCAIS</v>
      </c>
    </row>
    <row r="168" spans="1:9" x14ac:dyDescent="0.25">
      <c r="A168">
        <v>98</v>
      </c>
      <c r="B168" t="s">
        <v>596</v>
      </c>
      <c r="G168" t="s">
        <v>1206</v>
      </c>
      <c r="I168" t="str">
        <f t="shared" si="2"/>
        <v>FINOR</v>
      </c>
    </row>
    <row r="169" spans="1:9" x14ac:dyDescent="0.25">
      <c r="A169">
        <v>99</v>
      </c>
      <c r="B169" t="s">
        <v>597</v>
      </c>
      <c r="G169" t="s">
        <v>1207</v>
      </c>
      <c r="I169" t="str">
        <f t="shared" si="2"/>
        <v>FINAM</v>
      </c>
    </row>
    <row r="170" spans="1:9" x14ac:dyDescent="0.25">
      <c r="A170">
        <v>100</v>
      </c>
      <c r="B170" t="s">
        <v>598</v>
      </c>
      <c r="F170" t="s">
        <v>1208</v>
      </c>
      <c r="I170" t="str">
        <f t="shared" si="2"/>
        <v>IMÓVEIS NÃO DESTINADOS AO USO</v>
      </c>
    </row>
    <row r="171" spans="1:9" x14ac:dyDescent="0.25">
      <c r="A171">
        <v>101</v>
      </c>
      <c r="B171" t="s">
        <v>599</v>
      </c>
      <c r="F171" t="s">
        <v>1209</v>
      </c>
      <c r="I171" t="str">
        <f t="shared" si="2"/>
        <v>OUTROS INVESTIMENTOS PERMANENTES</v>
      </c>
    </row>
    <row r="172" spans="1:9" x14ac:dyDescent="0.25">
      <c r="A172">
        <v>102</v>
      </c>
      <c r="B172" t="s">
        <v>600</v>
      </c>
      <c r="G172" t="s">
        <v>1210</v>
      </c>
      <c r="I172" t="str">
        <f t="shared" si="2"/>
        <v>OBJETOS DE ARTE</v>
      </c>
    </row>
    <row r="173" spans="1:9" x14ac:dyDescent="0.25">
      <c r="A173">
        <v>103</v>
      </c>
      <c r="B173" t="s">
        <v>601</v>
      </c>
      <c r="G173" t="s">
        <v>1211</v>
      </c>
      <c r="I173" t="str">
        <f t="shared" si="2"/>
        <v>CAUÇÕES PERMANENTES</v>
      </c>
    </row>
    <row r="174" spans="1:9" x14ac:dyDescent="0.25">
      <c r="A174">
        <v>104</v>
      </c>
      <c r="B174" t="s">
        <v>602</v>
      </c>
      <c r="F174" t="s">
        <v>1212</v>
      </c>
      <c r="I174" t="str">
        <f t="shared" si="2"/>
        <v>(-) PROVISÃO PARA PERDAS PERMANENTE</v>
      </c>
    </row>
    <row r="175" spans="1:9" x14ac:dyDescent="0.25">
      <c r="A175">
        <v>105</v>
      </c>
      <c r="B175" t="s">
        <v>603</v>
      </c>
      <c r="G175" t="s">
        <v>1213</v>
      </c>
      <c r="I175" t="str">
        <f t="shared" si="2"/>
        <v>(-) CONTROLADAS E COLIGADAS EQUI. PATRIM</v>
      </c>
    </row>
    <row r="176" spans="1:9" x14ac:dyDescent="0.25">
      <c r="A176">
        <v>106</v>
      </c>
      <c r="B176" t="s">
        <v>604</v>
      </c>
      <c r="G176" t="s">
        <v>1214</v>
      </c>
      <c r="I176" t="str">
        <f t="shared" si="2"/>
        <v>(-) CONTROLADAS COLIGADAS CUSTO CORRIGID</v>
      </c>
    </row>
    <row r="177" spans="1:9" x14ac:dyDescent="0.25">
      <c r="A177">
        <v>107</v>
      </c>
      <c r="B177" t="s">
        <v>605</v>
      </c>
      <c r="G177" t="s">
        <v>1215</v>
      </c>
      <c r="I177" t="str">
        <f t="shared" si="2"/>
        <v>(-) OUTRAS PARTICIPAÇÕES SOCIETÁRIAS</v>
      </c>
    </row>
    <row r="178" spans="1:9" x14ac:dyDescent="0.25">
      <c r="A178">
        <v>108</v>
      </c>
      <c r="B178" t="s">
        <v>606</v>
      </c>
      <c r="G178" t="s">
        <v>1216</v>
      </c>
      <c r="I178" t="str">
        <f t="shared" si="2"/>
        <v>(-) PARTICIPAÇÕES POR INCENTIVOS FISCAIS</v>
      </c>
    </row>
    <row r="179" spans="1:9" x14ac:dyDescent="0.25">
      <c r="A179">
        <v>109</v>
      </c>
      <c r="B179" t="s">
        <v>607</v>
      </c>
      <c r="G179" t="s">
        <v>1217</v>
      </c>
      <c r="I179" t="str">
        <f t="shared" si="2"/>
        <v>(-) IMÓVEIS NÃO DESTINADOS A USO</v>
      </c>
    </row>
    <row r="180" spans="1:9" x14ac:dyDescent="0.25">
      <c r="A180">
        <v>110</v>
      </c>
      <c r="B180" t="s">
        <v>608</v>
      </c>
      <c r="G180" t="s">
        <v>1218</v>
      </c>
      <c r="I180" t="str">
        <f t="shared" si="2"/>
        <v>(-) OUTROS INVESTIMENTOS PERMANENTES</v>
      </c>
    </row>
    <row r="181" spans="1:9" x14ac:dyDescent="0.25">
      <c r="A181">
        <v>111</v>
      </c>
      <c r="B181" t="s">
        <v>236</v>
      </c>
      <c r="E181" t="s">
        <v>73</v>
      </c>
      <c r="I181" t="str">
        <f t="shared" si="2"/>
        <v>IMOBILIZADO</v>
      </c>
    </row>
    <row r="182" spans="1:9" x14ac:dyDescent="0.25">
      <c r="A182">
        <v>112</v>
      </c>
      <c r="B182" t="s">
        <v>237</v>
      </c>
      <c r="F182" t="s">
        <v>74</v>
      </c>
      <c r="I182" t="str">
        <f t="shared" si="2"/>
        <v>IMÓVEIS</v>
      </c>
    </row>
    <row r="183" spans="1:9" x14ac:dyDescent="0.25">
      <c r="A183">
        <v>113</v>
      </c>
      <c r="B183" t="s">
        <v>609</v>
      </c>
      <c r="G183" t="s">
        <v>1219</v>
      </c>
      <c r="I183" t="str">
        <f t="shared" si="2"/>
        <v>TERRENOS</v>
      </c>
    </row>
    <row r="184" spans="1:9" x14ac:dyDescent="0.25">
      <c r="A184">
        <v>115</v>
      </c>
      <c r="B184" t="s">
        <v>610</v>
      </c>
      <c r="G184" t="s">
        <v>1220</v>
      </c>
      <c r="I184" t="str">
        <f t="shared" si="2"/>
        <v>EDIFICIOS E CONSTRUÇÕES</v>
      </c>
    </row>
    <row r="185" spans="1:9" x14ac:dyDescent="0.25">
      <c r="A185">
        <v>114</v>
      </c>
      <c r="B185" t="s">
        <v>611</v>
      </c>
      <c r="G185" t="s">
        <v>1221</v>
      </c>
      <c r="I185" t="str">
        <f t="shared" si="2"/>
        <v>CONSTRUÇÕES EM ANDAMENTO - IMOVEIS PROPRIOS</v>
      </c>
    </row>
    <row r="186" spans="1:9" x14ac:dyDescent="0.25">
      <c r="A186">
        <v>588</v>
      </c>
      <c r="B186" t="s">
        <v>612</v>
      </c>
      <c r="G186" t="s">
        <v>164</v>
      </c>
      <c r="I186" t="str">
        <f t="shared" si="2"/>
        <v>OUTRAS IMOBILIZAÇÕES EM ANDAMENTO</v>
      </c>
    </row>
    <row r="187" spans="1:9" x14ac:dyDescent="0.25">
      <c r="A187">
        <v>589</v>
      </c>
      <c r="B187" t="s">
        <v>238</v>
      </c>
      <c r="G187" t="s">
        <v>239</v>
      </c>
      <c r="I187" t="str">
        <f t="shared" si="2"/>
        <v>BENFEITORIAS EM IMOVEIS DE TERCEIROS</v>
      </c>
    </row>
    <row r="188" spans="1:9" x14ac:dyDescent="0.25">
      <c r="A188">
        <v>116</v>
      </c>
      <c r="B188" t="s">
        <v>240</v>
      </c>
      <c r="F188" t="s">
        <v>75</v>
      </c>
      <c r="I188" t="str">
        <f t="shared" si="2"/>
        <v>BENS MÓVEIS</v>
      </c>
    </row>
    <row r="189" spans="1:9" x14ac:dyDescent="0.25">
      <c r="A189">
        <v>117</v>
      </c>
      <c r="B189" t="s">
        <v>242</v>
      </c>
      <c r="G189" t="s">
        <v>1928</v>
      </c>
      <c r="I189" t="str">
        <f t="shared" si="2"/>
        <v>MAQUINAS E EQUIPAMENTOS</v>
      </c>
    </row>
    <row r="190" spans="1:9" x14ac:dyDescent="0.25">
      <c r="A190">
        <v>590</v>
      </c>
      <c r="B190" t="s">
        <v>244</v>
      </c>
      <c r="G190" t="s">
        <v>1929</v>
      </c>
      <c r="I190" t="str">
        <f t="shared" si="2"/>
        <v>MÓVEIS E UTENSILIOS</v>
      </c>
    </row>
    <row r="191" spans="1:9" x14ac:dyDescent="0.25">
      <c r="A191">
        <v>591</v>
      </c>
      <c r="B191" t="s">
        <v>246</v>
      </c>
      <c r="G191" t="s">
        <v>76</v>
      </c>
      <c r="I191" t="str">
        <f t="shared" si="2"/>
        <v>VEICULOS</v>
      </c>
    </row>
    <row r="192" spans="1:9" x14ac:dyDescent="0.25">
      <c r="A192">
        <v>592</v>
      </c>
      <c r="B192" t="s">
        <v>247</v>
      </c>
      <c r="G192" t="s">
        <v>1930</v>
      </c>
      <c r="I192" t="str">
        <f t="shared" si="2"/>
        <v>EQUIPTOS. DE PROC. ELETRONICOS DE DADOS</v>
      </c>
    </row>
    <row r="193" spans="1:9" x14ac:dyDescent="0.25">
      <c r="A193">
        <v>593</v>
      </c>
      <c r="B193" t="s">
        <v>613</v>
      </c>
      <c r="G193" t="s">
        <v>1222</v>
      </c>
      <c r="I193" t="str">
        <f t="shared" si="2"/>
        <v>EMBARCAÇÕES</v>
      </c>
    </row>
    <row r="194" spans="1:9" x14ac:dyDescent="0.25">
      <c r="A194">
        <v>1003</v>
      </c>
      <c r="B194" t="s">
        <v>249</v>
      </c>
      <c r="G194" t="s">
        <v>250</v>
      </c>
      <c r="I194" t="str">
        <f t="shared" si="2"/>
        <v>TELEFONIA</v>
      </c>
    </row>
    <row r="195" spans="1:9" x14ac:dyDescent="0.25">
      <c r="A195">
        <v>118</v>
      </c>
      <c r="B195" t="s">
        <v>614</v>
      </c>
      <c r="F195" t="s">
        <v>1223</v>
      </c>
      <c r="I195" t="str">
        <f t="shared" si="2"/>
        <v>MÁQUINAS, EQUIPAMENTOS E FERRAMENTAS</v>
      </c>
    </row>
    <row r="196" spans="1:9" x14ac:dyDescent="0.25">
      <c r="A196">
        <v>119</v>
      </c>
      <c r="B196" t="s">
        <v>615</v>
      </c>
      <c r="G196" t="s">
        <v>1224</v>
      </c>
      <c r="I196" t="str">
        <f t="shared" si="2"/>
        <v>MÁQUINAS E EQUIPAMENTOS</v>
      </c>
    </row>
    <row r="197" spans="1:9" x14ac:dyDescent="0.25">
      <c r="A197">
        <v>120</v>
      </c>
      <c r="B197" t="s">
        <v>616</v>
      </c>
      <c r="F197" t="s">
        <v>1225</v>
      </c>
      <c r="I197" t="str">
        <f t="shared" si="2"/>
        <v>VEÍCULOS</v>
      </c>
    </row>
    <row r="198" spans="1:9" x14ac:dyDescent="0.25">
      <c r="A198">
        <v>121</v>
      </c>
      <c r="B198" t="s">
        <v>617</v>
      </c>
      <c r="G198" t="s">
        <v>1225</v>
      </c>
      <c r="I198" t="str">
        <f t="shared" si="2"/>
        <v>VEÍCULOS</v>
      </c>
    </row>
    <row r="199" spans="1:9" x14ac:dyDescent="0.25">
      <c r="A199">
        <v>122</v>
      </c>
      <c r="B199" t="s">
        <v>618</v>
      </c>
      <c r="F199" t="s">
        <v>1226</v>
      </c>
      <c r="I199" t="str">
        <f t="shared" si="2"/>
        <v>RECURSOS NATURAIS</v>
      </c>
    </row>
    <row r="200" spans="1:9" x14ac:dyDescent="0.25">
      <c r="A200">
        <v>124</v>
      </c>
      <c r="B200" t="s">
        <v>619</v>
      </c>
      <c r="F200" t="s">
        <v>1227</v>
      </c>
      <c r="I200" t="str">
        <f t="shared" si="2"/>
        <v>IMOBILIZADO EM ANDAMENTO</v>
      </c>
    </row>
    <row r="201" spans="1:9" x14ac:dyDescent="0.25">
      <c r="A201">
        <v>125</v>
      </c>
      <c r="B201" t="s">
        <v>255</v>
      </c>
      <c r="F201" t="s">
        <v>77</v>
      </c>
      <c r="I201" t="str">
        <f t="shared" ref="I201:I264" si="3">IF(H201&lt;&gt;"",H201,IF(G201&lt;&gt;"",G201,IF(F201&lt;&gt;"",F201,IF(E201&lt;&gt;"",E201,IF(D201&lt;&gt;"",D201,IF(C201&lt;&gt;"",C201,B201))))))</f>
        <v>(-) DEPRECIAÇÕES, AMORT. E EXAUS. ACUMUL</v>
      </c>
    </row>
    <row r="202" spans="1:9" x14ac:dyDescent="0.25">
      <c r="A202">
        <v>126</v>
      </c>
      <c r="B202" t="s">
        <v>620</v>
      </c>
      <c r="G202" t="s">
        <v>1228</v>
      </c>
      <c r="I202" t="str">
        <f t="shared" si="3"/>
        <v>(-) EDIFICIOS E CONSTRUÇÕES</v>
      </c>
    </row>
    <row r="203" spans="1:9" x14ac:dyDescent="0.25">
      <c r="A203">
        <v>127</v>
      </c>
      <c r="B203" t="s">
        <v>256</v>
      </c>
      <c r="G203" t="s">
        <v>257</v>
      </c>
      <c r="I203" t="str">
        <f t="shared" si="3"/>
        <v>(-) BENFEITORIAS EM IMOVEIS DE TERCEIROS</v>
      </c>
    </row>
    <row r="204" spans="1:9" x14ac:dyDescent="0.25">
      <c r="A204">
        <v>128</v>
      </c>
      <c r="B204" t="s">
        <v>258</v>
      </c>
      <c r="G204" t="s">
        <v>1931</v>
      </c>
      <c r="I204" t="str">
        <f t="shared" si="3"/>
        <v>(-) MAQUINAS E EQUIPAMENTOS</v>
      </c>
    </row>
    <row r="205" spans="1:9" x14ac:dyDescent="0.25">
      <c r="A205">
        <v>129</v>
      </c>
      <c r="B205" t="s">
        <v>260</v>
      </c>
      <c r="G205" t="s">
        <v>1932</v>
      </c>
      <c r="I205" t="str">
        <f t="shared" si="3"/>
        <v>(-) MÓVEIS E UTENSILIOS</v>
      </c>
    </row>
    <row r="206" spans="1:9" x14ac:dyDescent="0.25">
      <c r="A206">
        <v>130</v>
      </c>
      <c r="B206" t="s">
        <v>261</v>
      </c>
      <c r="G206" t="s">
        <v>163</v>
      </c>
      <c r="I206" t="str">
        <f t="shared" si="3"/>
        <v>(-) VEÍCULOS</v>
      </c>
    </row>
    <row r="207" spans="1:9" x14ac:dyDescent="0.25">
      <c r="A207">
        <v>131</v>
      </c>
      <c r="B207" t="s">
        <v>262</v>
      </c>
      <c r="G207" t="s">
        <v>1933</v>
      </c>
      <c r="I207" t="str">
        <f t="shared" si="3"/>
        <v>(-) EQUIPTOS. DE PROC. ELETRONICOS DE DADOS</v>
      </c>
    </row>
    <row r="208" spans="1:9" x14ac:dyDescent="0.25">
      <c r="A208">
        <v>594</v>
      </c>
      <c r="B208" t="s">
        <v>622</v>
      </c>
      <c r="G208" t="s">
        <v>1222</v>
      </c>
      <c r="I208" t="str">
        <f t="shared" si="3"/>
        <v>EMBARCAÇÕES</v>
      </c>
    </row>
    <row r="209" spans="1:9" x14ac:dyDescent="0.25">
      <c r="A209">
        <v>595</v>
      </c>
      <c r="B209" t="s">
        <v>623</v>
      </c>
      <c r="F209" t="s">
        <v>1230</v>
      </c>
      <c r="I209" t="str">
        <f t="shared" si="3"/>
        <v>IMOBILIZADO LESING - FINANCEIRO</v>
      </c>
    </row>
    <row r="210" spans="1:9" x14ac:dyDescent="0.25">
      <c r="A210">
        <v>596</v>
      </c>
      <c r="B210" t="s">
        <v>624</v>
      </c>
      <c r="G210" t="s">
        <v>1231</v>
      </c>
      <c r="I210" t="str">
        <f t="shared" si="3"/>
        <v>MAQUINAS, EQUIPAMENTOS E INSTALAÇÕES COMERCIAIS</v>
      </c>
    </row>
    <row r="211" spans="1:9" x14ac:dyDescent="0.25">
      <c r="A211">
        <v>597</v>
      </c>
      <c r="B211" t="s">
        <v>625</v>
      </c>
      <c r="G211" t="s">
        <v>1232</v>
      </c>
      <c r="I211" t="str">
        <f t="shared" si="3"/>
        <v>MÓVEIS UTENSILIOS E INSTALAÇÕES COMERCIAIS</v>
      </c>
    </row>
    <row r="212" spans="1:9" x14ac:dyDescent="0.25">
      <c r="A212">
        <v>598</v>
      </c>
      <c r="B212" t="s">
        <v>626</v>
      </c>
      <c r="G212" t="s">
        <v>76</v>
      </c>
      <c r="I212" t="str">
        <f t="shared" si="3"/>
        <v>VEICULOS</v>
      </c>
    </row>
    <row r="213" spans="1:9" x14ac:dyDescent="0.25">
      <c r="A213">
        <v>599</v>
      </c>
      <c r="B213" t="s">
        <v>627</v>
      </c>
      <c r="G213" t="s">
        <v>248</v>
      </c>
      <c r="I213" t="str">
        <f t="shared" si="3"/>
        <v>CENTRO DE PROCESSAMENTO DE DADOS</v>
      </c>
    </row>
    <row r="214" spans="1:9" x14ac:dyDescent="0.25">
      <c r="A214">
        <v>600</v>
      </c>
      <c r="B214" t="s">
        <v>628</v>
      </c>
      <c r="G214" t="s">
        <v>1222</v>
      </c>
      <c r="I214" t="str">
        <f t="shared" si="3"/>
        <v>EMBARCAÇÕES</v>
      </c>
    </row>
    <row r="215" spans="1:9" x14ac:dyDescent="0.25">
      <c r="A215">
        <v>601</v>
      </c>
      <c r="B215" t="s">
        <v>629</v>
      </c>
      <c r="F215" t="s">
        <v>1233</v>
      </c>
      <c r="I215" t="str">
        <f t="shared" si="3"/>
        <v>(-) DEPRECIAÇÕES, AMORT.E EXAUST.ACUM.-LEASING FINANCEIRO</v>
      </c>
    </row>
    <row r="216" spans="1:9" x14ac:dyDescent="0.25">
      <c r="A216">
        <v>602</v>
      </c>
      <c r="B216" t="s">
        <v>630</v>
      </c>
      <c r="G216" t="s">
        <v>1234</v>
      </c>
      <c r="I216" t="str">
        <f t="shared" si="3"/>
        <v>MÁQUINAS, EQUIPAMENTOS E INSTALAÇÕES INDUSTRIAIS</v>
      </c>
    </row>
    <row r="217" spans="1:9" x14ac:dyDescent="0.25">
      <c r="A217">
        <v>603</v>
      </c>
      <c r="B217" t="s">
        <v>631</v>
      </c>
      <c r="G217" t="s">
        <v>1235</v>
      </c>
      <c r="I217" t="str">
        <f t="shared" si="3"/>
        <v>MÓVEIS, UTENSÍLIOS E INSTALAÇÕES COMERCIAIS</v>
      </c>
    </row>
    <row r="218" spans="1:9" x14ac:dyDescent="0.25">
      <c r="A218">
        <v>604</v>
      </c>
      <c r="B218" t="s">
        <v>632</v>
      </c>
      <c r="G218" t="s">
        <v>76</v>
      </c>
      <c r="I218" t="str">
        <f t="shared" si="3"/>
        <v>VEICULOS</v>
      </c>
    </row>
    <row r="219" spans="1:9" x14ac:dyDescent="0.25">
      <c r="A219">
        <v>605</v>
      </c>
      <c r="B219" t="s">
        <v>633</v>
      </c>
      <c r="G219" t="s">
        <v>1222</v>
      </c>
      <c r="I219" t="str">
        <f t="shared" si="3"/>
        <v>EMBARCAÇÕES</v>
      </c>
    </row>
    <row r="220" spans="1:9" x14ac:dyDescent="0.25">
      <c r="A220">
        <v>502</v>
      </c>
      <c r="B220" t="s">
        <v>268</v>
      </c>
      <c r="E220" t="s">
        <v>78</v>
      </c>
      <c r="I220" t="str">
        <f t="shared" si="3"/>
        <v>INTANGÍVEL</v>
      </c>
    </row>
    <row r="221" spans="1:9" x14ac:dyDescent="0.25">
      <c r="A221">
        <v>123</v>
      </c>
      <c r="B221" t="s">
        <v>269</v>
      </c>
      <c r="F221" t="s">
        <v>270</v>
      </c>
      <c r="I221" t="str">
        <f t="shared" si="3"/>
        <v>ATIVOS INTANGIVEIS</v>
      </c>
    </row>
    <row r="222" spans="1:9" x14ac:dyDescent="0.25">
      <c r="A222">
        <v>606</v>
      </c>
      <c r="B222" t="s">
        <v>634</v>
      </c>
      <c r="G222" t="s">
        <v>1236</v>
      </c>
      <c r="I222" t="str">
        <f t="shared" si="3"/>
        <v>CONCESSÕES</v>
      </c>
    </row>
    <row r="223" spans="1:9" x14ac:dyDescent="0.25">
      <c r="A223">
        <v>607</v>
      </c>
      <c r="B223" t="s">
        <v>271</v>
      </c>
      <c r="G223" t="s">
        <v>272</v>
      </c>
      <c r="I223" t="str">
        <f t="shared" si="3"/>
        <v>MARCAS E PATENTES</v>
      </c>
    </row>
    <row r="224" spans="1:9" x14ac:dyDescent="0.25">
      <c r="A224">
        <v>608</v>
      </c>
      <c r="B224" t="s">
        <v>635</v>
      </c>
      <c r="G224" t="s">
        <v>1237</v>
      </c>
      <c r="I224" t="str">
        <f t="shared" si="3"/>
        <v>DIREITOS AUTORAIS</v>
      </c>
    </row>
    <row r="225" spans="1:9" x14ac:dyDescent="0.25">
      <c r="A225">
        <v>609</v>
      </c>
      <c r="B225" t="s">
        <v>636</v>
      </c>
      <c r="G225" t="s">
        <v>1238</v>
      </c>
      <c r="I225" t="str">
        <f t="shared" si="3"/>
        <v>FUNDO DE COMERCIO</v>
      </c>
    </row>
    <row r="226" spans="1:9" x14ac:dyDescent="0.25">
      <c r="A226">
        <v>610</v>
      </c>
      <c r="B226" t="s">
        <v>273</v>
      </c>
      <c r="G226" t="s">
        <v>274</v>
      </c>
      <c r="I226" t="str">
        <f t="shared" si="3"/>
        <v>SISTEMAS APLIC. SOFTWARE OU PROGRAMAS</v>
      </c>
    </row>
    <row r="227" spans="1:9" x14ac:dyDescent="0.25">
      <c r="A227">
        <v>611</v>
      </c>
      <c r="B227" t="s">
        <v>637</v>
      </c>
      <c r="G227" t="s">
        <v>1239</v>
      </c>
      <c r="I227" t="str">
        <f t="shared" si="3"/>
        <v>FRANQUIAS</v>
      </c>
    </row>
    <row r="228" spans="1:9" x14ac:dyDescent="0.25">
      <c r="A228">
        <v>612</v>
      </c>
      <c r="B228" t="s">
        <v>275</v>
      </c>
      <c r="F228" t="s">
        <v>276</v>
      </c>
      <c r="I228" t="str">
        <f t="shared" si="3"/>
        <v>(-) AMORTIZAÇÃO DO INTANGIVEL</v>
      </c>
    </row>
    <row r="229" spans="1:9" x14ac:dyDescent="0.25">
      <c r="A229">
        <v>613</v>
      </c>
      <c r="B229" t="s">
        <v>277</v>
      </c>
      <c r="G229" t="s">
        <v>278</v>
      </c>
      <c r="I229" t="str">
        <f t="shared" si="3"/>
        <v>SISTEMAS APLIC. SOFTWARE</v>
      </c>
    </row>
    <row r="230" spans="1:9" x14ac:dyDescent="0.25">
      <c r="A230">
        <v>614</v>
      </c>
      <c r="B230" t="s">
        <v>279</v>
      </c>
      <c r="G230" t="s">
        <v>272</v>
      </c>
      <c r="I230" t="str">
        <f t="shared" si="3"/>
        <v>MARCAS E PATENTES</v>
      </c>
    </row>
    <row r="231" spans="1:9" x14ac:dyDescent="0.25">
      <c r="A231">
        <v>615</v>
      </c>
      <c r="B231" t="s">
        <v>638</v>
      </c>
      <c r="F231" t="s">
        <v>1240</v>
      </c>
      <c r="I231" t="str">
        <f t="shared" si="3"/>
        <v>(-) OUTRAS CONTAS REDUTORAS DO INTANGIVEL</v>
      </c>
    </row>
    <row r="232" spans="1:9" x14ac:dyDescent="0.25">
      <c r="A232">
        <v>616</v>
      </c>
      <c r="B232" t="s">
        <v>639</v>
      </c>
      <c r="E232" t="s">
        <v>357</v>
      </c>
      <c r="I232" t="str">
        <f t="shared" si="3"/>
        <v>CONTAS DE COMPENSAÇÃO</v>
      </c>
    </row>
    <row r="233" spans="1:9" x14ac:dyDescent="0.25">
      <c r="A233">
        <v>617</v>
      </c>
      <c r="B233" t="s">
        <v>640</v>
      </c>
      <c r="F233" t="s">
        <v>357</v>
      </c>
      <c r="I233" t="str">
        <f t="shared" si="3"/>
        <v>CONTAS DE COMPENSAÇÃO</v>
      </c>
    </row>
    <row r="234" spans="1:9" x14ac:dyDescent="0.25">
      <c r="A234">
        <v>618</v>
      </c>
      <c r="B234" t="s">
        <v>641</v>
      </c>
      <c r="G234" t="s">
        <v>360</v>
      </c>
      <c r="I234" t="str">
        <f t="shared" si="3"/>
        <v>BENS EM COMODATO</v>
      </c>
    </row>
    <row r="235" spans="1:9" x14ac:dyDescent="0.25">
      <c r="A235">
        <v>149</v>
      </c>
      <c r="B235" t="s">
        <v>280</v>
      </c>
      <c r="C235" t="s">
        <v>79</v>
      </c>
      <c r="I235" t="str">
        <f t="shared" si="3"/>
        <v>PASSIVO</v>
      </c>
    </row>
    <row r="236" spans="1:9" x14ac:dyDescent="0.25">
      <c r="A236">
        <v>150</v>
      </c>
      <c r="B236" t="s">
        <v>281</v>
      </c>
      <c r="D236" t="s">
        <v>80</v>
      </c>
      <c r="I236" t="str">
        <f t="shared" si="3"/>
        <v>PASSIVO CIRCULANTE</v>
      </c>
    </row>
    <row r="237" spans="1:9" x14ac:dyDescent="0.25">
      <c r="A237">
        <v>164</v>
      </c>
      <c r="B237" t="s">
        <v>282</v>
      </c>
      <c r="E237" t="s">
        <v>6</v>
      </c>
      <c r="I237" t="str">
        <f t="shared" si="3"/>
        <v>FORNECEDORES</v>
      </c>
    </row>
    <row r="238" spans="1:9" x14ac:dyDescent="0.25">
      <c r="A238">
        <v>165</v>
      </c>
      <c r="B238" t="s">
        <v>283</v>
      </c>
      <c r="F238" t="s">
        <v>6</v>
      </c>
      <c r="I238" t="str">
        <f t="shared" si="3"/>
        <v>FORNECEDORES</v>
      </c>
    </row>
    <row r="239" spans="1:9" x14ac:dyDescent="0.25">
      <c r="A239">
        <v>1361</v>
      </c>
      <c r="B239" t="s">
        <v>284</v>
      </c>
      <c r="G239" t="s">
        <v>1258</v>
      </c>
      <c r="I239" t="str">
        <f t="shared" si="3"/>
        <v>AMIL ASSISTENCIA MEDICA INTERNACIONAL S.</v>
      </c>
    </row>
    <row r="240" spans="1:9" x14ac:dyDescent="0.25">
      <c r="A240">
        <v>1363</v>
      </c>
      <c r="B240" t="s">
        <v>284</v>
      </c>
      <c r="G240" t="s">
        <v>1934</v>
      </c>
      <c r="I240" t="str">
        <f t="shared" si="3"/>
        <v>BNI BRASIL - BUSINESS NETWORK INTERNATIO</v>
      </c>
    </row>
    <row r="241" spans="1:9" x14ac:dyDescent="0.25">
      <c r="A241">
        <v>1364</v>
      </c>
      <c r="B241" t="s">
        <v>284</v>
      </c>
      <c r="G241" t="s">
        <v>1935</v>
      </c>
      <c r="I241" t="str">
        <f t="shared" si="3"/>
        <v>CATALYST SERVICES BRASIL LTDA</v>
      </c>
    </row>
    <row r="242" spans="1:9" x14ac:dyDescent="0.25">
      <c r="A242">
        <v>1365</v>
      </c>
      <c r="B242" t="s">
        <v>284</v>
      </c>
      <c r="G242" t="s">
        <v>1936</v>
      </c>
      <c r="I242" t="str">
        <f t="shared" si="3"/>
        <v>CERTISIGN CERTIFICADORA DIGITAL S/A</v>
      </c>
    </row>
    <row r="243" spans="1:9" x14ac:dyDescent="0.25">
      <c r="A243">
        <v>505</v>
      </c>
      <c r="B243" t="s">
        <v>284</v>
      </c>
      <c r="G243" t="s">
        <v>21</v>
      </c>
      <c r="I243" t="str">
        <f t="shared" si="3"/>
        <v>FORNECEDORES DIVERSOS</v>
      </c>
    </row>
    <row r="244" spans="1:9" x14ac:dyDescent="0.25">
      <c r="A244">
        <v>1362</v>
      </c>
      <c r="B244" t="s">
        <v>284</v>
      </c>
      <c r="G244" t="s">
        <v>1937</v>
      </c>
      <c r="I244" t="str">
        <f t="shared" si="3"/>
        <v>GOOGLE BRASIL INTERNET LTDA.</v>
      </c>
    </row>
    <row r="245" spans="1:9" x14ac:dyDescent="0.25">
      <c r="A245">
        <v>168</v>
      </c>
      <c r="B245" t="s">
        <v>285</v>
      </c>
      <c r="F245" t="s">
        <v>1508</v>
      </c>
      <c r="I245" t="str">
        <f t="shared" si="3"/>
        <v>FORNECEDORES ESTRANGEIROS</v>
      </c>
    </row>
    <row r="246" spans="1:9" x14ac:dyDescent="0.25">
      <c r="A246">
        <v>619</v>
      </c>
      <c r="B246" t="s">
        <v>286</v>
      </c>
      <c r="G246" t="s">
        <v>21</v>
      </c>
      <c r="I246" t="str">
        <f t="shared" si="3"/>
        <v>FORNECEDORES DIVERSOS</v>
      </c>
    </row>
    <row r="247" spans="1:9" x14ac:dyDescent="0.25">
      <c r="A247">
        <v>382</v>
      </c>
      <c r="B247" t="s">
        <v>287</v>
      </c>
      <c r="E247" t="s">
        <v>81</v>
      </c>
      <c r="I247" t="str">
        <f t="shared" si="3"/>
        <v>EMPRÉSTIMOS E FINANCIAMENTOS</v>
      </c>
    </row>
    <row r="248" spans="1:9" x14ac:dyDescent="0.25">
      <c r="A248">
        <v>151</v>
      </c>
      <c r="B248" t="s">
        <v>288</v>
      </c>
      <c r="F248" t="s">
        <v>82</v>
      </c>
      <c r="I248" t="str">
        <f t="shared" si="3"/>
        <v>FINANCIAMENTOS - SIST. FINANCEIRO NACIONAL</v>
      </c>
    </row>
    <row r="249" spans="1:9" x14ac:dyDescent="0.25">
      <c r="A249">
        <v>152</v>
      </c>
      <c r="B249" t="s">
        <v>642</v>
      </c>
      <c r="G249" t="s">
        <v>185</v>
      </c>
      <c r="I249" t="str">
        <f t="shared" si="3"/>
        <v>BANCO DO BRASIL S/A.</v>
      </c>
    </row>
    <row r="250" spans="1:9" x14ac:dyDescent="0.25">
      <c r="A250">
        <v>620</v>
      </c>
      <c r="B250" t="s">
        <v>643</v>
      </c>
      <c r="G250" t="s">
        <v>1123</v>
      </c>
      <c r="I250" t="str">
        <f t="shared" si="3"/>
        <v>(-) BANCO DO BRASIL S/A.</v>
      </c>
    </row>
    <row r="251" spans="1:9" x14ac:dyDescent="0.25">
      <c r="A251">
        <v>621</v>
      </c>
      <c r="B251" t="s">
        <v>289</v>
      </c>
      <c r="G251" t="s">
        <v>187</v>
      </c>
      <c r="I251" t="str">
        <f t="shared" si="3"/>
        <v>BANCO BRADESCO S/A.</v>
      </c>
    </row>
    <row r="252" spans="1:9" x14ac:dyDescent="0.25">
      <c r="A252">
        <v>622</v>
      </c>
      <c r="B252" t="s">
        <v>644</v>
      </c>
      <c r="G252" t="s">
        <v>1124</v>
      </c>
      <c r="I252" t="str">
        <f t="shared" si="3"/>
        <v>(-) BANCO BRADESCO S/A.</v>
      </c>
    </row>
    <row r="253" spans="1:9" x14ac:dyDescent="0.25">
      <c r="A253">
        <v>623</v>
      </c>
      <c r="B253" t="s">
        <v>645</v>
      </c>
      <c r="G253" t="s">
        <v>189</v>
      </c>
      <c r="I253" t="str">
        <f t="shared" si="3"/>
        <v>BANCO ITAU UNIBANCO S/A.</v>
      </c>
    </row>
    <row r="254" spans="1:9" x14ac:dyDescent="0.25">
      <c r="A254">
        <v>624</v>
      </c>
      <c r="B254" t="s">
        <v>646</v>
      </c>
      <c r="G254" t="s">
        <v>198</v>
      </c>
      <c r="I254" t="str">
        <f t="shared" si="3"/>
        <v>(-) BANCO ITAU UNIBANCO S/A.</v>
      </c>
    </row>
    <row r="255" spans="1:9" x14ac:dyDescent="0.25">
      <c r="A255">
        <v>625</v>
      </c>
      <c r="B255" t="s">
        <v>647</v>
      </c>
      <c r="G255" t="s">
        <v>56</v>
      </c>
      <c r="I255" t="str">
        <f t="shared" si="3"/>
        <v>BANCO SANTANDER S/A.</v>
      </c>
    </row>
    <row r="256" spans="1:9" x14ac:dyDescent="0.25">
      <c r="A256">
        <v>627</v>
      </c>
      <c r="B256" t="s">
        <v>648</v>
      </c>
      <c r="G256" t="s">
        <v>1118</v>
      </c>
      <c r="I256" t="str">
        <f t="shared" si="3"/>
        <v>BANCO HSBC S/A.</v>
      </c>
    </row>
    <row r="257" spans="1:9" x14ac:dyDescent="0.25">
      <c r="A257">
        <v>628</v>
      </c>
      <c r="B257" t="s">
        <v>649</v>
      </c>
      <c r="G257" t="s">
        <v>1126</v>
      </c>
      <c r="I257" t="str">
        <f t="shared" si="3"/>
        <v>(-) BANCO HSBC S/A.</v>
      </c>
    </row>
    <row r="258" spans="1:9" x14ac:dyDescent="0.25">
      <c r="A258">
        <v>629</v>
      </c>
      <c r="B258" t="s">
        <v>650</v>
      </c>
      <c r="G258" t="s">
        <v>192</v>
      </c>
      <c r="I258" t="str">
        <f t="shared" si="3"/>
        <v>BANCO SAFRA S/A.</v>
      </c>
    </row>
    <row r="259" spans="1:9" x14ac:dyDescent="0.25">
      <c r="A259">
        <v>630</v>
      </c>
      <c r="B259" t="s">
        <v>651</v>
      </c>
      <c r="G259" t="s">
        <v>1127</v>
      </c>
      <c r="I259" t="str">
        <f t="shared" si="3"/>
        <v>(-) BANCO SAFRA S/A.</v>
      </c>
    </row>
    <row r="260" spans="1:9" x14ac:dyDescent="0.25">
      <c r="A260">
        <v>631</v>
      </c>
      <c r="B260" t="s">
        <v>652</v>
      </c>
      <c r="G260" t="s">
        <v>1119</v>
      </c>
      <c r="I260" t="str">
        <f t="shared" si="3"/>
        <v>CAIXA ECONOMICA FEDERAL</v>
      </c>
    </row>
    <row r="261" spans="1:9" x14ac:dyDescent="0.25">
      <c r="A261">
        <v>632</v>
      </c>
      <c r="B261" t="s">
        <v>653</v>
      </c>
      <c r="G261" t="s">
        <v>1128</v>
      </c>
      <c r="I261" t="str">
        <f t="shared" si="3"/>
        <v>(-) CAIXA ECONOMICA FEDERAL</v>
      </c>
    </row>
    <row r="262" spans="1:9" x14ac:dyDescent="0.25">
      <c r="A262">
        <v>633</v>
      </c>
      <c r="B262" t="s">
        <v>654</v>
      </c>
      <c r="G262" t="s">
        <v>1120</v>
      </c>
      <c r="I262" t="str">
        <f t="shared" si="3"/>
        <v>UNICRED COOPERATIVA DE CREDITO</v>
      </c>
    </row>
    <row r="263" spans="1:9" x14ac:dyDescent="0.25">
      <c r="A263">
        <v>634</v>
      </c>
      <c r="B263" t="s">
        <v>655</v>
      </c>
      <c r="G263" t="s">
        <v>1129</v>
      </c>
      <c r="I263" t="str">
        <f t="shared" si="3"/>
        <v>(-) UNICRED COOPERATIVA DE CREDITO</v>
      </c>
    </row>
    <row r="264" spans="1:9" x14ac:dyDescent="0.25">
      <c r="A264">
        <v>635</v>
      </c>
      <c r="B264" t="s">
        <v>656</v>
      </c>
      <c r="G264" t="s">
        <v>1121</v>
      </c>
      <c r="I264" t="str">
        <f t="shared" si="3"/>
        <v>BANCO CITIBANK S/A.</v>
      </c>
    </row>
    <row r="265" spans="1:9" x14ac:dyDescent="0.25">
      <c r="A265">
        <v>636</v>
      </c>
      <c r="B265" t="s">
        <v>657</v>
      </c>
      <c r="G265" t="s">
        <v>1130</v>
      </c>
      <c r="I265" t="str">
        <f t="shared" ref="I265:I328" si="4">IF(H265&lt;&gt;"",H265,IF(G265&lt;&gt;"",G265,IF(F265&lt;&gt;"",F265,IF(E265&lt;&gt;"",E265,IF(D265&lt;&gt;"",D265,IF(C265&lt;&gt;"",C265,B265))))))</f>
        <v>(-) BANCO CITIBANK S/A.</v>
      </c>
    </row>
    <row r="266" spans="1:9" x14ac:dyDescent="0.25">
      <c r="A266">
        <v>637</v>
      </c>
      <c r="B266" t="s">
        <v>658</v>
      </c>
      <c r="G266" t="s">
        <v>1122</v>
      </c>
      <c r="I266" t="str">
        <f t="shared" si="4"/>
        <v>BANCO SOFISA S/A.</v>
      </c>
    </row>
    <row r="267" spans="1:9" x14ac:dyDescent="0.25">
      <c r="A267">
        <v>638</v>
      </c>
      <c r="B267" t="s">
        <v>659</v>
      </c>
      <c r="G267" t="s">
        <v>1190</v>
      </c>
      <c r="I267" t="str">
        <f t="shared" si="4"/>
        <v>(-) BANCO SOFISA S/A.</v>
      </c>
    </row>
    <row r="268" spans="1:9" x14ac:dyDescent="0.25">
      <c r="A268">
        <v>153</v>
      </c>
      <c r="B268" t="s">
        <v>660</v>
      </c>
      <c r="F268" t="s">
        <v>1509</v>
      </c>
      <c r="I268" t="str">
        <f t="shared" si="4"/>
        <v>FINANCIAMENTOS - EXTERIOR</v>
      </c>
    </row>
    <row r="269" spans="1:9" x14ac:dyDescent="0.25">
      <c r="A269">
        <v>154</v>
      </c>
      <c r="B269" t="s">
        <v>661</v>
      </c>
      <c r="F269" t="s">
        <v>1510</v>
      </c>
      <c r="I269" t="str">
        <f t="shared" si="4"/>
        <v>DUPLICATAS DESCONTADAS</v>
      </c>
    </row>
    <row r="270" spans="1:9" x14ac:dyDescent="0.25">
      <c r="A270">
        <v>639</v>
      </c>
      <c r="B270" t="s">
        <v>662</v>
      </c>
      <c r="G270" t="s">
        <v>185</v>
      </c>
      <c r="I270" t="str">
        <f t="shared" si="4"/>
        <v>BANCO DO BRASIL S/A.</v>
      </c>
    </row>
    <row r="271" spans="1:9" x14ac:dyDescent="0.25">
      <c r="A271">
        <v>155</v>
      </c>
      <c r="B271" t="s">
        <v>663</v>
      </c>
      <c r="G271" t="s">
        <v>187</v>
      </c>
      <c r="I271" t="str">
        <f t="shared" si="4"/>
        <v>BANCO BRADESCO S/A.</v>
      </c>
    </row>
    <row r="272" spans="1:9" x14ac:dyDescent="0.25">
      <c r="A272">
        <v>640</v>
      </c>
      <c r="B272" t="s">
        <v>664</v>
      </c>
      <c r="G272" t="s">
        <v>189</v>
      </c>
      <c r="I272" t="str">
        <f t="shared" si="4"/>
        <v>BANCO ITAU UNIBANCO S/A.</v>
      </c>
    </row>
    <row r="273" spans="1:9" x14ac:dyDescent="0.25">
      <c r="A273">
        <v>641</v>
      </c>
      <c r="B273" t="s">
        <v>665</v>
      </c>
      <c r="G273" t="s">
        <v>56</v>
      </c>
      <c r="I273" t="str">
        <f t="shared" si="4"/>
        <v>BANCO SANTANDER S/A.</v>
      </c>
    </row>
    <row r="274" spans="1:9" x14ac:dyDescent="0.25">
      <c r="A274">
        <v>642</v>
      </c>
      <c r="B274" t="s">
        <v>666</v>
      </c>
      <c r="G274" t="s">
        <v>1118</v>
      </c>
      <c r="I274" t="str">
        <f t="shared" si="4"/>
        <v>BANCO HSBC S/A.</v>
      </c>
    </row>
    <row r="275" spans="1:9" x14ac:dyDescent="0.25">
      <c r="A275">
        <v>643</v>
      </c>
      <c r="B275" t="s">
        <v>667</v>
      </c>
      <c r="G275" t="s">
        <v>192</v>
      </c>
      <c r="I275" t="str">
        <f t="shared" si="4"/>
        <v>BANCO SAFRA S/A.</v>
      </c>
    </row>
    <row r="276" spans="1:9" x14ac:dyDescent="0.25">
      <c r="A276">
        <v>644</v>
      </c>
      <c r="B276" t="s">
        <v>668</v>
      </c>
      <c r="G276" t="s">
        <v>1119</v>
      </c>
      <c r="I276" t="str">
        <f t="shared" si="4"/>
        <v>CAIXA ECONOMICA FEDERAL</v>
      </c>
    </row>
    <row r="277" spans="1:9" x14ac:dyDescent="0.25">
      <c r="A277">
        <v>645</v>
      </c>
      <c r="B277" t="s">
        <v>669</v>
      </c>
      <c r="G277" t="s">
        <v>1120</v>
      </c>
      <c r="I277" t="str">
        <f t="shared" si="4"/>
        <v>UNICRED COOPERATIVA DE CREDITO</v>
      </c>
    </row>
    <row r="278" spans="1:9" x14ac:dyDescent="0.25">
      <c r="A278">
        <v>646</v>
      </c>
      <c r="B278" t="s">
        <v>670</v>
      </c>
      <c r="G278" t="s">
        <v>1121</v>
      </c>
      <c r="I278" t="str">
        <f t="shared" si="4"/>
        <v>BANCO CITIBANK S/A.</v>
      </c>
    </row>
    <row r="279" spans="1:9" x14ac:dyDescent="0.25">
      <c r="A279">
        <v>647</v>
      </c>
      <c r="B279" t="s">
        <v>671</v>
      </c>
      <c r="G279" t="s">
        <v>1122</v>
      </c>
      <c r="I279" t="str">
        <f t="shared" si="4"/>
        <v>BANCO SOFISA S/A.</v>
      </c>
    </row>
    <row r="280" spans="1:9" x14ac:dyDescent="0.25">
      <c r="A280">
        <v>156</v>
      </c>
      <c r="B280" t="s">
        <v>672</v>
      </c>
      <c r="F280" t="s">
        <v>1511</v>
      </c>
      <c r="I280" t="str">
        <f t="shared" si="4"/>
        <v>ARRENDAMENTO MERCANTIL</v>
      </c>
    </row>
    <row r="281" spans="1:9" x14ac:dyDescent="0.25">
      <c r="A281">
        <v>648</v>
      </c>
      <c r="B281" t="s">
        <v>673</v>
      </c>
      <c r="G281" t="s">
        <v>185</v>
      </c>
      <c r="I281" t="str">
        <f t="shared" si="4"/>
        <v>BANCO DO BRASIL S/A.</v>
      </c>
    </row>
    <row r="282" spans="1:9" x14ac:dyDescent="0.25">
      <c r="A282">
        <v>649</v>
      </c>
      <c r="B282" t="s">
        <v>674</v>
      </c>
      <c r="G282" t="s">
        <v>83</v>
      </c>
      <c r="I282" t="str">
        <f t="shared" si="4"/>
        <v>(-) ENCARGOS FINANCEIROS - BANCO DO BRASIL S/A.</v>
      </c>
    </row>
    <row r="283" spans="1:9" x14ac:dyDescent="0.25">
      <c r="A283">
        <v>650</v>
      </c>
      <c r="B283" t="s">
        <v>675</v>
      </c>
      <c r="G283" t="s">
        <v>187</v>
      </c>
      <c r="I283" t="str">
        <f t="shared" si="4"/>
        <v>BANCO BRADESCO S/A.</v>
      </c>
    </row>
    <row r="284" spans="1:9" x14ac:dyDescent="0.25">
      <c r="A284">
        <v>651</v>
      </c>
      <c r="B284" t="s">
        <v>676</v>
      </c>
      <c r="G284" t="s">
        <v>84</v>
      </c>
      <c r="I284" t="str">
        <f t="shared" si="4"/>
        <v>(-) ENCARGOS FINANCEIROS - BANCO BRADESCO S/A.</v>
      </c>
    </row>
    <row r="285" spans="1:9" x14ac:dyDescent="0.25">
      <c r="A285">
        <v>652</v>
      </c>
      <c r="B285" t="s">
        <v>677</v>
      </c>
      <c r="G285" t="s">
        <v>189</v>
      </c>
      <c r="I285" t="str">
        <f t="shared" si="4"/>
        <v>BANCO ITAU UNIBANCO S/A.</v>
      </c>
    </row>
    <row r="286" spans="1:9" x14ac:dyDescent="0.25">
      <c r="A286">
        <v>653</v>
      </c>
      <c r="B286" t="s">
        <v>678</v>
      </c>
      <c r="G286" t="s">
        <v>85</v>
      </c>
      <c r="I286" t="str">
        <f t="shared" si="4"/>
        <v>(-) ENCARGOS FINANCEIROS - BANCO ITAU UNIBANCO S/A.</v>
      </c>
    </row>
    <row r="287" spans="1:9" x14ac:dyDescent="0.25">
      <c r="A287">
        <v>654</v>
      </c>
      <c r="B287" t="s">
        <v>679</v>
      </c>
      <c r="G287" t="s">
        <v>56</v>
      </c>
      <c r="I287" t="str">
        <f t="shared" si="4"/>
        <v>BANCO SANTANDER S/A.</v>
      </c>
    </row>
    <row r="288" spans="1:9" x14ac:dyDescent="0.25">
      <c r="A288">
        <v>655</v>
      </c>
      <c r="B288" t="s">
        <v>680</v>
      </c>
      <c r="G288" t="s">
        <v>86</v>
      </c>
      <c r="I288" t="str">
        <f t="shared" si="4"/>
        <v>(-) ENCARGOS FINANCEIROS - BANCO SANTANDER S/A.</v>
      </c>
    </row>
    <row r="289" spans="1:9" x14ac:dyDescent="0.25">
      <c r="A289">
        <v>656</v>
      </c>
      <c r="B289" t="s">
        <v>681</v>
      </c>
      <c r="G289" t="s">
        <v>1118</v>
      </c>
      <c r="I289" t="str">
        <f t="shared" si="4"/>
        <v>BANCO HSBC S/A.</v>
      </c>
    </row>
    <row r="290" spans="1:9" x14ac:dyDescent="0.25">
      <c r="A290">
        <v>657</v>
      </c>
      <c r="B290" t="s">
        <v>682</v>
      </c>
      <c r="G290" t="s">
        <v>87</v>
      </c>
      <c r="I290" t="str">
        <f t="shared" si="4"/>
        <v>(-) ENCARGOS FINANCEIROS - BANCO HSBC S/A.</v>
      </c>
    </row>
    <row r="291" spans="1:9" x14ac:dyDescent="0.25">
      <c r="A291">
        <v>658</v>
      </c>
      <c r="B291" t="s">
        <v>683</v>
      </c>
      <c r="G291" t="s">
        <v>192</v>
      </c>
      <c r="I291" t="str">
        <f t="shared" si="4"/>
        <v>BANCO SAFRA S/A.</v>
      </c>
    </row>
    <row r="292" spans="1:9" x14ac:dyDescent="0.25">
      <c r="A292">
        <v>659</v>
      </c>
      <c r="B292" t="s">
        <v>684</v>
      </c>
      <c r="G292" t="s">
        <v>88</v>
      </c>
      <c r="I292" t="str">
        <f t="shared" si="4"/>
        <v>(-) ENCARGOS FINANCEIROS - BANCO SAFRA S/A.</v>
      </c>
    </row>
    <row r="293" spans="1:9" x14ac:dyDescent="0.25">
      <c r="A293">
        <v>660</v>
      </c>
      <c r="B293" t="s">
        <v>685</v>
      </c>
      <c r="G293" t="s">
        <v>1119</v>
      </c>
      <c r="I293" t="str">
        <f t="shared" si="4"/>
        <v>CAIXA ECONOMICA FEDERAL</v>
      </c>
    </row>
    <row r="294" spans="1:9" x14ac:dyDescent="0.25">
      <c r="A294">
        <v>661</v>
      </c>
      <c r="B294" t="s">
        <v>686</v>
      </c>
      <c r="G294" t="s">
        <v>89</v>
      </c>
      <c r="I294" t="str">
        <f t="shared" si="4"/>
        <v>(-) ENCARGOS FINANCEIROS - CAIXA ECONOMICA FEDERAL</v>
      </c>
    </row>
    <row r="295" spans="1:9" x14ac:dyDescent="0.25">
      <c r="A295">
        <v>662</v>
      </c>
      <c r="B295" t="s">
        <v>687</v>
      </c>
      <c r="G295" t="s">
        <v>1512</v>
      </c>
      <c r="I295" t="str">
        <f t="shared" si="4"/>
        <v>UNICRED COOPEWRATIVA DE CREDITO</v>
      </c>
    </row>
    <row r="296" spans="1:9" x14ac:dyDescent="0.25">
      <c r="A296">
        <v>663</v>
      </c>
      <c r="B296" t="s">
        <v>688</v>
      </c>
      <c r="G296" t="s">
        <v>90</v>
      </c>
      <c r="I296" t="str">
        <f t="shared" si="4"/>
        <v>(-) ENCARGOS FINANCEIROS - UNICRED COOPERATIVA DE CREDITO</v>
      </c>
    </row>
    <row r="297" spans="1:9" x14ac:dyDescent="0.25">
      <c r="A297">
        <v>664</v>
      </c>
      <c r="B297" t="s">
        <v>689</v>
      </c>
      <c r="G297" t="s">
        <v>1121</v>
      </c>
      <c r="I297" t="str">
        <f t="shared" si="4"/>
        <v>BANCO CITIBANK S/A.</v>
      </c>
    </row>
    <row r="298" spans="1:9" x14ac:dyDescent="0.25">
      <c r="A298">
        <v>665</v>
      </c>
      <c r="B298" t="s">
        <v>690</v>
      </c>
      <c r="G298" t="s">
        <v>91</v>
      </c>
      <c r="I298" t="str">
        <f t="shared" si="4"/>
        <v>(-) ENCARGOS FINANCEIROS - BANCO CITIBANK S/A.</v>
      </c>
    </row>
    <row r="299" spans="1:9" x14ac:dyDescent="0.25">
      <c r="A299">
        <v>666</v>
      </c>
      <c r="B299" t="s">
        <v>691</v>
      </c>
      <c r="G299" t="s">
        <v>1122</v>
      </c>
      <c r="I299" t="str">
        <f t="shared" si="4"/>
        <v>BANCO SOFISA S/A.</v>
      </c>
    </row>
    <row r="300" spans="1:9" x14ac:dyDescent="0.25">
      <c r="A300">
        <v>667</v>
      </c>
      <c r="B300" t="s">
        <v>692</v>
      </c>
      <c r="G300" t="s">
        <v>92</v>
      </c>
      <c r="I300" t="str">
        <f t="shared" si="4"/>
        <v>(-) ENCARGOS FINANCEIROS - BANCO SOFISA S/A.</v>
      </c>
    </row>
    <row r="301" spans="1:9" x14ac:dyDescent="0.25">
      <c r="A301">
        <v>668</v>
      </c>
      <c r="B301" t="s">
        <v>693</v>
      </c>
      <c r="F301" t="s">
        <v>1513</v>
      </c>
      <c r="I301" t="str">
        <f t="shared" si="4"/>
        <v>ARRENDAMENTO MERCANTIL - EXTERIOR</v>
      </c>
    </row>
    <row r="302" spans="1:9" x14ac:dyDescent="0.25">
      <c r="A302">
        <v>157</v>
      </c>
      <c r="B302" t="s">
        <v>694</v>
      </c>
      <c r="F302" t="s">
        <v>1514</v>
      </c>
      <c r="I302" t="str">
        <f t="shared" si="4"/>
        <v>FINANCIAMENTOS - PESSOA FISICA</v>
      </c>
    </row>
    <row r="303" spans="1:9" x14ac:dyDescent="0.25">
      <c r="A303">
        <v>158</v>
      </c>
      <c r="B303" t="s">
        <v>695</v>
      </c>
      <c r="F303" t="s">
        <v>1515</v>
      </c>
      <c r="I303" t="str">
        <f t="shared" si="4"/>
        <v>ADIANTAMENTOS SOBRE CONTRATOS DE CÂMBIO</v>
      </c>
    </row>
    <row r="304" spans="1:9" x14ac:dyDescent="0.25">
      <c r="A304">
        <v>159</v>
      </c>
      <c r="B304" t="s">
        <v>696</v>
      </c>
      <c r="F304" t="s">
        <v>1516</v>
      </c>
      <c r="I304" t="str">
        <f t="shared" si="4"/>
        <v>CONTROLADORA, CONTROLADAS E COLIGADAS</v>
      </c>
    </row>
    <row r="305" spans="1:9" x14ac:dyDescent="0.25">
      <c r="A305">
        <v>169</v>
      </c>
      <c r="B305" t="s">
        <v>290</v>
      </c>
      <c r="E305" t="s">
        <v>93</v>
      </c>
      <c r="I305" t="str">
        <f t="shared" si="4"/>
        <v>OBRIGAÇÕES TRIBUTÁRIAS</v>
      </c>
    </row>
    <row r="306" spans="1:9" x14ac:dyDescent="0.25">
      <c r="A306">
        <v>170</v>
      </c>
      <c r="B306" t="s">
        <v>291</v>
      </c>
      <c r="F306" t="s">
        <v>94</v>
      </c>
      <c r="I306" t="str">
        <f t="shared" si="4"/>
        <v>IMPOSTOS E CONTRIBUIÇÕES A RECOLHER</v>
      </c>
    </row>
    <row r="307" spans="1:9" x14ac:dyDescent="0.25">
      <c r="A307">
        <v>171</v>
      </c>
      <c r="B307" t="s">
        <v>292</v>
      </c>
      <c r="G307" t="s">
        <v>1938</v>
      </c>
      <c r="I307" t="str">
        <f t="shared" si="4"/>
        <v>ICMS A RECOLHER</v>
      </c>
    </row>
    <row r="308" spans="1:9" x14ac:dyDescent="0.25">
      <c r="A308">
        <v>179</v>
      </c>
      <c r="B308" t="s">
        <v>704</v>
      </c>
      <c r="G308" t="s">
        <v>1939</v>
      </c>
      <c r="I308" t="str">
        <f t="shared" si="4"/>
        <v>IPI A RECOLHER</v>
      </c>
    </row>
    <row r="309" spans="1:9" x14ac:dyDescent="0.25">
      <c r="A309">
        <v>483</v>
      </c>
      <c r="B309" t="s">
        <v>294</v>
      </c>
      <c r="G309" t="s">
        <v>295</v>
      </c>
      <c r="I309" t="str">
        <f t="shared" si="4"/>
        <v>PIS A RECOLHER</v>
      </c>
    </row>
    <row r="310" spans="1:9" x14ac:dyDescent="0.25">
      <c r="A310">
        <v>485</v>
      </c>
      <c r="B310" t="s">
        <v>296</v>
      </c>
      <c r="G310" t="s">
        <v>297</v>
      </c>
      <c r="I310" t="str">
        <f t="shared" si="4"/>
        <v>COFINS A RECOLHER</v>
      </c>
    </row>
    <row r="311" spans="1:9" x14ac:dyDescent="0.25">
      <c r="A311">
        <v>487</v>
      </c>
      <c r="B311" t="s">
        <v>298</v>
      </c>
      <c r="G311" t="s">
        <v>299</v>
      </c>
      <c r="I311" t="str">
        <f t="shared" si="4"/>
        <v>ISS A RECOLHER</v>
      </c>
    </row>
    <row r="312" spans="1:9" x14ac:dyDescent="0.25">
      <c r="A312">
        <v>488</v>
      </c>
      <c r="B312" t="s">
        <v>300</v>
      </c>
      <c r="G312" t="s">
        <v>301</v>
      </c>
      <c r="I312" t="str">
        <f t="shared" si="4"/>
        <v>PROVISÃO PARA CSLL</v>
      </c>
    </row>
    <row r="313" spans="1:9" x14ac:dyDescent="0.25">
      <c r="A313">
        <v>489</v>
      </c>
      <c r="B313" t="s">
        <v>302</v>
      </c>
      <c r="G313" t="s">
        <v>303</v>
      </c>
      <c r="I313" t="str">
        <f t="shared" si="4"/>
        <v>PROVISAO PARA IRPJ</v>
      </c>
    </row>
    <row r="314" spans="1:9" x14ac:dyDescent="0.25">
      <c r="A314">
        <v>490</v>
      </c>
      <c r="B314" t="s">
        <v>712</v>
      </c>
      <c r="G314" t="s">
        <v>95</v>
      </c>
      <c r="I314" t="str">
        <f t="shared" si="4"/>
        <v>SIMPLES NACIONAL  A RECOLHER</v>
      </c>
    </row>
    <row r="315" spans="1:9" x14ac:dyDescent="0.25">
      <c r="A315">
        <v>491</v>
      </c>
      <c r="B315" t="s">
        <v>304</v>
      </c>
      <c r="G315" t="s">
        <v>305</v>
      </c>
      <c r="I315" t="str">
        <f t="shared" si="4"/>
        <v>IMPOSTO DE RENDA RETIDO NA FONTE - TERCEIROS</v>
      </c>
    </row>
    <row r="316" spans="1:9" x14ac:dyDescent="0.25">
      <c r="A316">
        <v>508</v>
      </c>
      <c r="B316" t="s">
        <v>306</v>
      </c>
      <c r="G316" t="s">
        <v>96</v>
      </c>
      <c r="I316" t="str">
        <f t="shared" si="4"/>
        <v>PIS/COFINS/CSLL A RECOLHER</v>
      </c>
    </row>
    <row r="317" spans="1:9" x14ac:dyDescent="0.25">
      <c r="A317">
        <v>669</v>
      </c>
      <c r="B317" t="s">
        <v>713</v>
      </c>
      <c r="G317" t="s">
        <v>97</v>
      </c>
      <c r="I317" t="str">
        <f t="shared" si="4"/>
        <v>ICMS SUBSTITUIÇÃO TRIBUTARIA</v>
      </c>
    </row>
    <row r="318" spans="1:9" x14ac:dyDescent="0.25">
      <c r="A318">
        <v>670</v>
      </c>
      <c r="B318" t="s">
        <v>714</v>
      </c>
      <c r="G318" t="s">
        <v>1940</v>
      </c>
      <c r="I318" t="str">
        <f t="shared" si="4"/>
        <v>INSS RETIDO A RECOLHER</v>
      </c>
    </row>
    <row r="319" spans="1:9" x14ac:dyDescent="0.25">
      <c r="A319">
        <v>1257</v>
      </c>
      <c r="B319" t="s">
        <v>715</v>
      </c>
      <c r="G319" t="s">
        <v>1941</v>
      </c>
      <c r="I319" t="str">
        <f t="shared" si="4"/>
        <v>CONTRIBUIÇÃO NEGOCIAL A RECOLHER</v>
      </c>
    </row>
    <row r="320" spans="1:9" x14ac:dyDescent="0.25">
      <c r="A320">
        <v>671</v>
      </c>
      <c r="B320" t="s">
        <v>715</v>
      </c>
      <c r="G320" t="s">
        <v>98</v>
      </c>
      <c r="I320" t="str">
        <f t="shared" si="4"/>
        <v>CONTRIBUIÇÃO SINDICAL A RECOLHER</v>
      </c>
    </row>
    <row r="321" spans="1:9" x14ac:dyDescent="0.25">
      <c r="A321">
        <v>672</v>
      </c>
      <c r="B321" t="s">
        <v>716</v>
      </c>
      <c r="G321" t="s">
        <v>99</v>
      </c>
      <c r="I321" t="str">
        <f t="shared" si="4"/>
        <v>CONTRIBUIÇÃO ASSISTENCIAL A RECOLHER</v>
      </c>
    </row>
    <row r="322" spans="1:9" x14ac:dyDescent="0.25">
      <c r="A322">
        <v>673</v>
      </c>
      <c r="B322" t="s">
        <v>717</v>
      </c>
      <c r="G322" t="s">
        <v>1532</v>
      </c>
      <c r="I322" t="str">
        <f t="shared" si="4"/>
        <v>CONTRIBUIÇÃO CONFEDERATIVA A RECOLHER</v>
      </c>
    </row>
    <row r="323" spans="1:9" x14ac:dyDescent="0.25">
      <c r="A323">
        <v>674</v>
      </c>
      <c r="B323" t="s">
        <v>718</v>
      </c>
      <c r="G323" t="s">
        <v>1533</v>
      </c>
      <c r="I323" t="str">
        <f t="shared" si="4"/>
        <v>MENSALIDADE SINDICAL A RECOLHER</v>
      </c>
    </row>
    <row r="324" spans="1:9" x14ac:dyDescent="0.25">
      <c r="A324">
        <v>675</v>
      </c>
      <c r="B324" t="s">
        <v>719</v>
      </c>
      <c r="G324" t="s">
        <v>1534</v>
      </c>
      <c r="I324" t="str">
        <f t="shared" si="4"/>
        <v>CONTR. S/ PLR A RECOLHER</v>
      </c>
    </row>
    <row r="325" spans="1:9" x14ac:dyDescent="0.25">
      <c r="A325">
        <v>949</v>
      </c>
      <c r="B325" t="s">
        <v>720</v>
      </c>
      <c r="G325" t="s">
        <v>100</v>
      </c>
      <c r="I325" t="str">
        <f t="shared" si="4"/>
        <v>IMPOSTO DE RENDA RETIDO NA FONTE - ALUGUEIS</v>
      </c>
    </row>
    <row r="326" spans="1:9" x14ac:dyDescent="0.25">
      <c r="A326">
        <v>950</v>
      </c>
      <c r="B326" t="s">
        <v>307</v>
      </c>
      <c r="G326" t="s">
        <v>101</v>
      </c>
      <c r="I326" t="str">
        <f t="shared" si="4"/>
        <v>IMPOSTO DE RENDA RETIDO NA FONTE - FOLHA DE PAGTO.</v>
      </c>
    </row>
    <row r="327" spans="1:9" x14ac:dyDescent="0.25">
      <c r="A327">
        <v>185</v>
      </c>
      <c r="B327" t="s">
        <v>309</v>
      </c>
      <c r="E327" t="s">
        <v>102</v>
      </c>
      <c r="I327" t="str">
        <f t="shared" si="4"/>
        <v>OBRIGAÇÕES TRABALHISTAS E PREVIDENCIÁRIAS</v>
      </c>
    </row>
    <row r="328" spans="1:9" x14ac:dyDescent="0.25">
      <c r="A328">
        <v>186</v>
      </c>
      <c r="B328" t="s">
        <v>310</v>
      </c>
      <c r="F328" t="s">
        <v>103</v>
      </c>
      <c r="I328" t="str">
        <f t="shared" si="4"/>
        <v>OBRIGAÇÕES COM O PESSOAL</v>
      </c>
    </row>
    <row r="329" spans="1:9" x14ac:dyDescent="0.25">
      <c r="A329">
        <v>187</v>
      </c>
      <c r="B329" t="s">
        <v>722</v>
      </c>
      <c r="G329" t="s">
        <v>1536</v>
      </c>
      <c r="I329" t="str">
        <f t="shared" ref="I329:I392" si="5">IF(H329&lt;&gt;"",H329,IF(G329&lt;&gt;"",G329,IF(F329&lt;&gt;"",F329,IF(E329&lt;&gt;"",E329,IF(D329&lt;&gt;"",D329,IF(C329&lt;&gt;"",C329,B329))))))</f>
        <v>PRO-LABORE A PAGAR</v>
      </c>
    </row>
    <row r="330" spans="1:9" x14ac:dyDescent="0.25">
      <c r="A330">
        <v>188</v>
      </c>
      <c r="B330" t="s">
        <v>311</v>
      </c>
      <c r="G330" t="s">
        <v>104</v>
      </c>
      <c r="I330" t="str">
        <f t="shared" si="5"/>
        <v>SALARIOS E ORDENADOS</v>
      </c>
    </row>
    <row r="331" spans="1:9" x14ac:dyDescent="0.25">
      <c r="A331">
        <v>189</v>
      </c>
      <c r="B331" t="s">
        <v>723</v>
      </c>
      <c r="G331" t="s">
        <v>1537</v>
      </c>
      <c r="I331" t="str">
        <f t="shared" si="5"/>
        <v>GRATIFICAÇÕES A PAGAR</v>
      </c>
    </row>
    <row r="332" spans="1:9" x14ac:dyDescent="0.25">
      <c r="A332">
        <v>676</v>
      </c>
      <c r="B332" t="s">
        <v>312</v>
      </c>
      <c r="G332" t="s">
        <v>313</v>
      </c>
      <c r="I332" t="str">
        <f t="shared" si="5"/>
        <v>RESCISÕES A PAGAR</v>
      </c>
    </row>
    <row r="333" spans="1:9" x14ac:dyDescent="0.25">
      <c r="A333">
        <v>677</v>
      </c>
      <c r="B333" t="s">
        <v>724</v>
      </c>
      <c r="G333" t="s">
        <v>1538</v>
      </c>
      <c r="I333" t="str">
        <f t="shared" si="5"/>
        <v>PARTICIPAÇÃO NOS LUCROS</v>
      </c>
    </row>
    <row r="334" spans="1:9" x14ac:dyDescent="0.25">
      <c r="A334">
        <v>678</v>
      </c>
      <c r="B334" t="s">
        <v>725</v>
      </c>
      <c r="G334" t="s">
        <v>1539</v>
      </c>
      <c r="I334" t="str">
        <f t="shared" si="5"/>
        <v>13o. SALARIO A PAGAR</v>
      </c>
    </row>
    <row r="335" spans="1:9" x14ac:dyDescent="0.25">
      <c r="A335">
        <v>679</v>
      </c>
      <c r="B335" t="s">
        <v>726</v>
      </c>
      <c r="G335" t="s">
        <v>105</v>
      </c>
      <c r="I335" t="str">
        <f t="shared" si="5"/>
        <v>PENSÃO ALIMENTICIA A PAGAR</v>
      </c>
    </row>
    <row r="336" spans="1:9" x14ac:dyDescent="0.25">
      <c r="A336">
        <v>680</v>
      </c>
      <c r="B336" t="s">
        <v>727</v>
      </c>
      <c r="G336" t="s">
        <v>1540</v>
      </c>
      <c r="I336" t="str">
        <f t="shared" si="5"/>
        <v>PENSÃO JUDICIAL</v>
      </c>
    </row>
    <row r="337" spans="1:9" x14ac:dyDescent="0.25">
      <c r="A337">
        <v>681</v>
      </c>
      <c r="B337" t="s">
        <v>728</v>
      </c>
      <c r="G337" t="s">
        <v>1541</v>
      </c>
      <c r="I337" t="str">
        <f t="shared" si="5"/>
        <v>SALARIO MATERNIDADE</v>
      </c>
    </row>
    <row r="338" spans="1:9" x14ac:dyDescent="0.25">
      <c r="A338">
        <v>682</v>
      </c>
      <c r="B338" t="s">
        <v>729</v>
      </c>
      <c r="G338" t="s">
        <v>1542</v>
      </c>
      <c r="I338" t="str">
        <f t="shared" si="5"/>
        <v>SALARIO FAMILIA</v>
      </c>
    </row>
    <row r="339" spans="1:9" x14ac:dyDescent="0.25">
      <c r="A339">
        <v>951</v>
      </c>
      <c r="B339" t="s">
        <v>730</v>
      </c>
      <c r="G339" t="s">
        <v>1543</v>
      </c>
      <c r="I339" t="str">
        <f t="shared" si="5"/>
        <v>EMPRESTIMOS CONSIGNADOS - FUNCIONARIOS</v>
      </c>
    </row>
    <row r="340" spans="1:9" x14ac:dyDescent="0.25">
      <c r="A340">
        <v>190</v>
      </c>
      <c r="B340" t="s">
        <v>314</v>
      </c>
      <c r="F340" t="s">
        <v>106</v>
      </c>
      <c r="I340" t="str">
        <f t="shared" si="5"/>
        <v>OBRIGAÇÕES SOCIAIS</v>
      </c>
    </row>
    <row r="341" spans="1:9" x14ac:dyDescent="0.25">
      <c r="A341">
        <v>191</v>
      </c>
      <c r="B341" t="s">
        <v>315</v>
      </c>
      <c r="G341" t="s">
        <v>107</v>
      </c>
      <c r="I341" t="str">
        <f t="shared" si="5"/>
        <v>INSS A RECOLHER</v>
      </c>
    </row>
    <row r="342" spans="1:9" x14ac:dyDescent="0.25">
      <c r="A342">
        <v>192</v>
      </c>
      <c r="B342" t="s">
        <v>316</v>
      </c>
      <c r="G342" t="s">
        <v>108</v>
      </c>
      <c r="I342" t="str">
        <f t="shared" si="5"/>
        <v>FGTS A RECOLHER</v>
      </c>
    </row>
    <row r="343" spans="1:9" x14ac:dyDescent="0.25">
      <c r="A343">
        <v>494</v>
      </c>
      <c r="B343" t="s">
        <v>732</v>
      </c>
      <c r="G343" t="s">
        <v>1545</v>
      </c>
      <c r="I343" t="str">
        <f t="shared" si="5"/>
        <v>PIS S/ FOLHA A RECOLHER</v>
      </c>
    </row>
    <row r="344" spans="1:9" x14ac:dyDescent="0.25">
      <c r="A344">
        <v>193</v>
      </c>
      <c r="B344" t="s">
        <v>317</v>
      </c>
      <c r="F344" t="s">
        <v>318</v>
      </c>
      <c r="I344" t="str">
        <f t="shared" si="5"/>
        <v>PROVISÕES</v>
      </c>
    </row>
    <row r="345" spans="1:9" x14ac:dyDescent="0.25">
      <c r="A345">
        <v>194</v>
      </c>
      <c r="B345" t="s">
        <v>319</v>
      </c>
      <c r="G345" t="s">
        <v>1546</v>
      </c>
      <c r="I345" t="str">
        <f t="shared" si="5"/>
        <v>PROVISÕES PARA FÉRIAS</v>
      </c>
    </row>
    <row r="346" spans="1:9" x14ac:dyDescent="0.25">
      <c r="A346">
        <v>195</v>
      </c>
      <c r="B346" t="s">
        <v>320</v>
      </c>
      <c r="G346" t="s">
        <v>1547</v>
      </c>
      <c r="I346" t="str">
        <f t="shared" si="5"/>
        <v>PROVISÕES PARA 13º SALÁRIO</v>
      </c>
    </row>
    <row r="347" spans="1:9" x14ac:dyDescent="0.25">
      <c r="A347">
        <v>196</v>
      </c>
      <c r="B347" t="s">
        <v>321</v>
      </c>
      <c r="G347" t="s">
        <v>1548</v>
      </c>
      <c r="I347" t="str">
        <f t="shared" si="5"/>
        <v>INSS SOBRE PROVISÕES PARA FÉRIAS</v>
      </c>
    </row>
    <row r="348" spans="1:9" x14ac:dyDescent="0.25">
      <c r="A348">
        <v>197</v>
      </c>
      <c r="B348" t="s">
        <v>322</v>
      </c>
      <c r="G348" t="s">
        <v>1549</v>
      </c>
      <c r="I348" t="str">
        <f t="shared" si="5"/>
        <v>INSS SOBRE PROVISÕES PARA 13º SALÁRIO</v>
      </c>
    </row>
    <row r="349" spans="1:9" x14ac:dyDescent="0.25">
      <c r="A349">
        <v>198</v>
      </c>
      <c r="B349" t="s">
        <v>323</v>
      </c>
      <c r="G349" t="s">
        <v>1550</v>
      </c>
      <c r="I349" t="str">
        <f t="shared" si="5"/>
        <v>FGTS SOBRE PROVISÕES PARA FÉRIAS</v>
      </c>
    </row>
    <row r="350" spans="1:9" x14ac:dyDescent="0.25">
      <c r="A350">
        <v>199</v>
      </c>
      <c r="B350" t="s">
        <v>324</v>
      </c>
      <c r="G350" t="s">
        <v>1551</v>
      </c>
      <c r="I350" t="str">
        <f t="shared" si="5"/>
        <v>FGTS SOBRE PROVISÕES PARA 13º SALÁRIO</v>
      </c>
    </row>
    <row r="351" spans="1:9" x14ac:dyDescent="0.25">
      <c r="A351">
        <v>495</v>
      </c>
      <c r="B351" t="s">
        <v>733</v>
      </c>
      <c r="G351" t="s">
        <v>1552</v>
      </c>
      <c r="I351" t="str">
        <f t="shared" si="5"/>
        <v>PIS SOBRE PROVISÕES PARA FÉRIAS</v>
      </c>
    </row>
    <row r="352" spans="1:9" x14ac:dyDescent="0.25">
      <c r="A352">
        <v>496</v>
      </c>
      <c r="B352" t="s">
        <v>734</v>
      </c>
      <c r="G352" t="s">
        <v>1553</v>
      </c>
      <c r="I352" t="str">
        <f t="shared" si="5"/>
        <v>PIS SOBRE PROVISÕES PARA 13º SALÁRIO</v>
      </c>
    </row>
    <row r="353" spans="1:9" x14ac:dyDescent="0.25">
      <c r="A353">
        <v>200</v>
      </c>
      <c r="B353" t="s">
        <v>325</v>
      </c>
      <c r="E353" t="s">
        <v>109</v>
      </c>
      <c r="I353" t="str">
        <f t="shared" si="5"/>
        <v>OUTRAS OBRIGAÇÕES</v>
      </c>
    </row>
    <row r="354" spans="1:9" x14ac:dyDescent="0.25">
      <c r="A354">
        <v>201</v>
      </c>
      <c r="B354" t="s">
        <v>735</v>
      </c>
      <c r="F354" t="s">
        <v>1554</v>
      </c>
      <c r="I354" t="str">
        <f t="shared" si="5"/>
        <v>ADIANTAMENTOS A CLIENTES</v>
      </c>
    </row>
    <row r="355" spans="1:9" x14ac:dyDescent="0.25">
      <c r="A355">
        <v>626</v>
      </c>
      <c r="B355" t="s">
        <v>736</v>
      </c>
      <c r="G355" t="s">
        <v>1555</v>
      </c>
      <c r="I355" t="str">
        <f t="shared" si="5"/>
        <v>ADIANTAMENTO DE CLIENTES</v>
      </c>
    </row>
    <row r="356" spans="1:9" x14ac:dyDescent="0.25">
      <c r="A356">
        <v>202</v>
      </c>
      <c r="B356" t="s">
        <v>326</v>
      </c>
      <c r="F356" t="s">
        <v>110</v>
      </c>
      <c r="I356" t="str">
        <f t="shared" si="5"/>
        <v>CONTAS A PAGAR</v>
      </c>
    </row>
    <row r="357" spans="1:9" x14ac:dyDescent="0.25">
      <c r="A357">
        <v>510</v>
      </c>
      <c r="B357" t="s">
        <v>327</v>
      </c>
      <c r="G357" t="s">
        <v>111</v>
      </c>
      <c r="I357" t="str">
        <f t="shared" si="5"/>
        <v>HONORÁRIOS CONTÁBEIS</v>
      </c>
    </row>
    <row r="358" spans="1:9" x14ac:dyDescent="0.25">
      <c r="A358">
        <v>683</v>
      </c>
      <c r="B358" t="s">
        <v>328</v>
      </c>
      <c r="G358" t="s">
        <v>110</v>
      </c>
      <c r="I358" t="str">
        <f t="shared" si="5"/>
        <v>CONTAS A PAGAR</v>
      </c>
    </row>
    <row r="359" spans="1:9" x14ac:dyDescent="0.25">
      <c r="A359">
        <v>684</v>
      </c>
      <c r="B359" t="s">
        <v>737</v>
      </c>
      <c r="G359" t="s">
        <v>1556</v>
      </c>
      <c r="I359" t="str">
        <f t="shared" si="5"/>
        <v>CHEQUES A COMPENSAR</v>
      </c>
    </row>
    <row r="360" spans="1:9" x14ac:dyDescent="0.25">
      <c r="A360">
        <v>685</v>
      </c>
      <c r="B360" t="s">
        <v>329</v>
      </c>
      <c r="G360" t="s">
        <v>112</v>
      </c>
      <c r="I360" t="str">
        <f t="shared" si="5"/>
        <v>ALUGUEIS A PAGAR</v>
      </c>
    </row>
    <row r="361" spans="1:9" x14ac:dyDescent="0.25">
      <c r="A361">
        <v>686</v>
      </c>
      <c r="B361" t="s">
        <v>330</v>
      </c>
      <c r="G361" t="s">
        <v>331</v>
      </c>
      <c r="I361" t="str">
        <f t="shared" si="5"/>
        <v>SEGUROS A PAGAR</v>
      </c>
    </row>
    <row r="362" spans="1:9" x14ac:dyDescent="0.25">
      <c r="A362">
        <v>687</v>
      </c>
      <c r="B362" t="s">
        <v>332</v>
      </c>
      <c r="G362" t="s">
        <v>113</v>
      </c>
      <c r="I362" t="str">
        <f t="shared" si="5"/>
        <v>SERVIÇOS DE TERCEIROS A PAGAR</v>
      </c>
    </row>
    <row r="363" spans="1:9" x14ac:dyDescent="0.25">
      <c r="A363">
        <v>688</v>
      </c>
      <c r="B363" t="s">
        <v>333</v>
      </c>
      <c r="G363" t="s">
        <v>114</v>
      </c>
      <c r="I363" t="str">
        <f t="shared" si="5"/>
        <v>FRETES A PAGAR</v>
      </c>
    </row>
    <row r="364" spans="1:9" x14ac:dyDescent="0.25">
      <c r="A364">
        <v>689</v>
      </c>
      <c r="B364" t="s">
        <v>738</v>
      </c>
      <c r="G364" t="s">
        <v>1557</v>
      </c>
      <c r="I364" t="str">
        <f t="shared" si="5"/>
        <v>COMISSÕES A PAGAR</v>
      </c>
    </row>
    <row r="365" spans="1:9" x14ac:dyDescent="0.25">
      <c r="A365">
        <v>690</v>
      </c>
      <c r="B365" t="s">
        <v>739</v>
      </c>
      <c r="G365" t="s">
        <v>1558</v>
      </c>
      <c r="I365" t="str">
        <f t="shared" si="5"/>
        <v>DISTRIBUIÇÃO DE LUCROS A PAGAR</v>
      </c>
    </row>
    <row r="366" spans="1:9" x14ac:dyDescent="0.25">
      <c r="A366">
        <v>1256</v>
      </c>
      <c r="B366" t="s">
        <v>739</v>
      </c>
      <c r="G366" t="s">
        <v>1942</v>
      </c>
      <c r="I366" t="str">
        <f t="shared" si="5"/>
        <v>TFF/ TFLI/ TFILF A PAGAR</v>
      </c>
    </row>
    <row r="367" spans="1:9" x14ac:dyDescent="0.25">
      <c r="A367">
        <v>207</v>
      </c>
      <c r="B367" t="s">
        <v>740</v>
      </c>
      <c r="E367" t="s">
        <v>1559</v>
      </c>
      <c r="I367" t="str">
        <f t="shared" si="5"/>
        <v>DIVIDENDOS, PART. E JURO SOBRE O CAPITAL</v>
      </c>
    </row>
    <row r="368" spans="1:9" x14ac:dyDescent="0.25">
      <c r="A368">
        <v>208</v>
      </c>
      <c r="B368" t="s">
        <v>741</v>
      </c>
      <c r="F368" t="s">
        <v>1560</v>
      </c>
      <c r="I368" t="str">
        <f t="shared" si="5"/>
        <v>DIVIDENDOS</v>
      </c>
    </row>
    <row r="369" spans="1:9" x14ac:dyDescent="0.25">
      <c r="A369">
        <v>209</v>
      </c>
      <c r="B369" t="s">
        <v>742</v>
      </c>
      <c r="G369" t="s">
        <v>1561</v>
      </c>
      <c r="I369" t="str">
        <f t="shared" si="5"/>
        <v>DIVIDENDOS PROPOSTOS</v>
      </c>
    </row>
    <row r="370" spans="1:9" x14ac:dyDescent="0.25">
      <c r="A370">
        <v>210</v>
      </c>
      <c r="B370" t="s">
        <v>743</v>
      </c>
      <c r="G370" t="s">
        <v>1562</v>
      </c>
      <c r="I370" t="str">
        <f t="shared" si="5"/>
        <v>DIVIDENDOS A PAGAR</v>
      </c>
    </row>
    <row r="371" spans="1:9" x14ac:dyDescent="0.25">
      <c r="A371">
        <v>211</v>
      </c>
      <c r="B371" t="s">
        <v>744</v>
      </c>
      <c r="F371" t="s">
        <v>1563</v>
      </c>
      <c r="I371" t="str">
        <f t="shared" si="5"/>
        <v>PARTICIPAÇÕES</v>
      </c>
    </row>
    <row r="372" spans="1:9" x14ac:dyDescent="0.25">
      <c r="A372">
        <v>212</v>
      </c>
      <c r="B372" t="s">
        <v>745</v>
      </c>
      <c r="G372" t="s">
        <v>1564</v>
      </c>
      <c r="I372" t="str">
        <f t="shared" si="5"/>
        <v>PARTICIPAÇÕES PROPOSTA A ADMINISTRADORES</v>
      </c>
    </row>
    <row r="373" spans="1:9" x14ac:dyDescent="0.25">
      <c r="A373">
        <v>213</v>
      </c>
      <c r="B373" t="s">
        <v>746</v>
      </c>
      <c r="G373" t="s">
        <v>1565</v>
      </c>
      <c r="I373" t="str">
        <f t="shared" si="5"/>
        <v>PARTICIPAÇÕES PROPOSTA A EMPREGADOS</v>
      </c>
    </row>
    <row r="374" spans="1:9" x14ac:dyDescent="0.25">
      <c r="A374">
        <v>214</v>
      </c>
      <c r="B374" t="s">
        <v>747</v>
      </c>
      <c r="G374" t="s">
        <v>1566</v>
      </c>
      <c r="I374" t="str">
        <f t="shared" si="5"/>
        <v>PARTICIPAÇÕES A PAGAR</v>
      </c>
    </row>
    <row r="375" spans="1:9" x14ac:dyDescent="0.25">
      <c r="A375">
        <v>215</v>
      </c>
      <c r="B375" t="s">
        <v>748</v>
      </c>
      <c r="F375" t="s">
        <v>1567</v>
      </c>
      <c r="I375" t="str">
        <f t="shared" si="5"/>
        <v>JUROS SOBRE CAPITAL PRÓPRIO</v>
      </c>
    </row>
    <row r="376" spans="1:9" x14ac:dyDescent="0.25">
      <c r="A376">
        <v>216</v>
      </c>
      <c r="B376" t="s">
        <v>749</v>
      </c>
      <c r="G376" t="s">
        <v>1568</v>
      </c>
      <c r="I376" t="str">
        <f t="shared" si="5"/>
        <v>JUROS SOBRE CAPITAL PRÓPRIO A PAGAR</v>
      </c>
    </row>
    <row r="377" spans="1:9" x14ac:dyDescent="0.25">
      <c r="A377">
        <v>160</v>
      </c>
      <c r="B377" t="s">
        <v>750</v>
      </c>
      <c r="E377" t="s">
        <v>1168</v>
      </c>
      <c r="I377" t="str">
        <f t="shared" si="5"/>
        <v>DEBÊNTURES</v>
      </c>
    </row>
    <row r="378" spans="1:9" x14ac:dyDescent="0.25">
      <c r="A378">
        <v>161</v>
      </c>
      <c r="B378" t="s">
        <v>751</v>
      </c>
      <c r="F378" t="s">
        <v>1569</v>
      </c>
      <c r="I378" t="str">
        <f t="shared" si="5"/>
        <v>DEBÊNTURES CONVERSÍVEIS EM AÇÕES</v>
      </c>
    </row>
    <row r="379" spans="1:9" x14ac:dyDescent="0.25">
      <c r="A379">
        <v>162</v>
      </c>
      <c r="B379" t="s">
        <v>752</v>
      </c>
      <c r="F379" t="s">
        <v>1570</v>
      </c>
      <c r="I379" t="str">
        <f t="shared" si="5"/>
        <v>DEBÊNTURES NÃO CONVERSÍVEIS</v>
      </c>
    </row>
    <row r="380" spans="1:9" x14ac:dyDescent="0.25">
      <c r="A380">
        <v>163</v>
      </c>
      <c r="B380" t="s">
        <v>753</v>
      </c>
      <c r="F380" t="s">
        <v>1170</v>
      </c>
      <c r="I380" t="str">
        <f t="shared" si="5"/>
        <v>(-) DESÁGIO A APROPRIAR</v>
      </c>
    </row>
    <row r="381" spans="1:9" x14ac:dyDescent="0.25">
      <c r="A381">
        <v>691</v>
      </c>
      <c r="B381" t="s">
        <v>754</v>
      </c>
      <c r="E381" t="s">
        <v>1571</v>
      </c>
      <c r="I381" t="str">
        <f t="shared" si="5"/>
        <v>OBRIGAÇÕES PARCELADAS</v>
      </c>
    </row>
    <row r="382" spans="1:9" x14ac:dyDescent="0.25">
      <c r="A382">
        <v>692</v>
      </c>
      <c r="B382" t="s">
        <v>755</v>
      </c>
      <c r="F382" t="s">
        <v>1572</v>
      </c>
      <c r="I382" t="str">
        <f t="shared" si="5"/>
        <v>IMPOSTOS</v>
      </c>
    </row>
    <row r="383" spans="1:9" x14ac:dyDescent="0.25">
      <c r="A383">
        <v>693</v>
      </c>
      <c r="B383" t="s">
        <v>756</v>
      </c>
      <c r="G383" t="s">
        <v>1595</v>
      </c>
      <c r="I383" t="str">
        <f t="shared" si="5"/>
        <v>IRPJ</v>
      </c>
    </row>
    <row r="384" spans="1:9" x14ac:dyDescent="0.25">
      <c r="A384">
        <v>694</v>
      </c>
      <c r="B384" t="s">
        <v>757</v>
      </c>
      <c r="G384" t="s">
        <v>1574</v>
      </c>
      <c r="I384" t="str">
        <f t="shared" si="5"/>
        <v>(-) ENCARGO FINANCEIRO - IRPJ</v>
      </c>
    </row>
    <row r="385" spans="1:9" x14ac:dyDescent="0.25">
      <c r="A385">
        <v>695</v>
      </c>
      <c r="B385" t="s">
        <v>758</v>
      </c>
      <c r="G385" t="s">
        <v>1596</v>
      </c>
      <c r="I385" t="str">
        <f t="shared" si="5"/>
        <v>CSLL</v>
      </c>
    </row>
    <row r="386" spans="1:9" x14ac:dyDescent="0.25">
      <c r="A386">
        <v>696</v>
      </c>
      <c r="B386" t="s">
        <v>759</v>
      </c>
      <c r="G386" t="s">
        <v>1576</v>
      </c>
      <c r="I386" t="str">
        <f t="shared" si="5"/>
        <v>(-) ENCARGO FINANCEIRO - CSLL</v>
      </c>
    </row>
    <row r="387" spans="1:9" x14ac:dyDescent="0.25">
      <c r="A387">
        <v>697</v>
      </c>
      <c r="B387" t="s">
        <v>760</v>
      </c>
      <c r="G387" t="s">
        <v>1597</v>
      </c>
      <c r="I387" t="str">
        <f t="shared" si="5"/>
        <v>PIS</v>
      </c>
    </row>
    <row r="388" spans="1:9" x14ac:dyDescent="0.25">
      <c r="A388">
        <v>698</v>
      </c>
      <c r="B388" t="s">
        <v>761</v>
      </c>
      <c r="G388" t="s">
        <v>1577</v>
      </c>
      <c r="I388" t="str">
        <f t="shared" si="5"/>
        <v>ENCARGO FINANCEIRO - PIS</v>
      </c>
    </row>
    <row r="389" spans="1:9" x14ac:dyDescent="0.25">
      <c r="A389">
        <v>700</v>
      </c>
      <c r="B389" t="s">
        <v>762</v>
      </c>
      <c r="G389" t="s">
        <v>1578</v>
      </c>
      <c r="I389" t="str">
        <f t="shared" si="5"/>
        <v>(-) ENCARGO FINANCEIRO - COFINS</v>
      </c>
    </row>
    <row r="390" spans="1:9" x14ac:dyDescent="0.25">
      <c r="A390">
        <v>701</v>
      </c>
      <c r="B390" t="s">
        <v>763</v>
      </c>
      <c r="G390" t="s">
        <v>1599</v>
      </c>
      <c r="I390" t="str">
        <f t="shared" si="5"/>
        <v>IPI</v>
      </c>
    </row>
    <row r="391" spans="1:9" x14ac:dyDescent="0.25">
      <c r="A391">
        <v>702</v>
      </c>
      <c r="B391" t="s">
        <v>764</v>
      </c>
      <c r="G391" t="s">
        <v>1580</v>
      </c>
      <c r="I391" t="str">
        <f t="shared" si="5"/>
        <v>(-) ENCARGO FINANCEIRO - IPI</v>
      </c>
    </row>
    <row r="392" spans="1:9" x14ac:dyDescent="0.25">
      <c r="A392">
        <v>703</v>
      </c>
      <c r="B392" t="s">
        <v>765</v>
      </c>
      <c r="G392" t="s">
        <v>27</v>
      </c>
      <c r="I392" t="str">
        <f t="shared" si="5"/>
        <v>SIMPLES NACIONAL</v>
      </c>
    </row>
    <row r="393" spans="1:9" x14ac:dyDescent="0.25">
      <c r="A393">
        <v>704</v>
      </c>
      <c r="B393" t="s">
        <v>766</v>
      </c>
      <c r="G393" t="s">
        <v>115</v>
      </c>
      <c r="I393" t="str">
        <f t="shared" ref="I393:I456" si="6">IF(H393&lt;&gt;"",H393,IF(G393&lt;&gt;"",G393,IF(F393&lt;&gt;"",F393,IF(E393&lt;&gt;"",E393,IF(D393&lt;&gt;"",D393,IF(C393&lt;&gt;"",C393,B393))))))</f>
        <v>(-) ENCARGO FINANCEIRO - SIMPLES NACIONAL</v>
      </c>
    </row>
    <row r="394" spans="1:9" x14ac:dyDescent="0.25">
      <c r="A394">
        <v>503</v>
      </c>
      <c r="B394" t="s">
        <v>334</v>
      </c>
      <c r="D394" t="s">
        <v>335</v>
      </c>
      <c r="I394" t="str">
        <f t="shared" si="6"/>
        <v>PASSIVO NÃO-CIRCULANTE</v>
      </c>
    </row>
    <row r="395" spans="1:9" x14ac:dyDescent="0.25">
      <c r="A395">
        <v>217</v>
      </c>
      <c r="B395" t="s">
        <v>336</v>
      </c>
      <c r="E395" t="s">
        <v>337</v>
      </c>
      <c r="I395" t="str">
        <f t="shared" si="6"/>
        <v>PASSIVO EXIGÍVEL A LONGO PRAZO</v>
      </c>
    </row>
    <row r="396" spans="1:9" x14ac:dyDescent="0.25">
      <c r="A396">
        <v>218</v>
      </c>
      <c r="B396" t="s">
        <v>338</v>
      </c>
      <c r="F396" t="s">
        <v>81</v>
      </c>
      <c r="I396" t="str">
        <f t="shared" si="6"/>
        <v>EMPRÉSTIMOS E FINANCIAMENTOS</v>
      </c>
    </row>
    <row r="397" spans="1:9" x14ac:dyDescent="0.25">
      <c r="A397">
        <v>219</v>
      </c>
      <c r="B397" t="s">
        <v>339</v>
      </c>
      <c r="G397" t="s">
        <v>340</v>
      </c>
      <c r="I397" t="str">
        <f t="shared" si="6"/>
        <v>EMPRÉSTIMOS</v>
      </c>
    </row>
    <row r="398" spans="1:9" x14ac:dyDescent="0.25">
      <c r="A398">
        <v>705</v>
      </c>
      <c r="B398" t="s">
        <v>767</v>
      </c>
      <c r="H398" t="s">
        <v>185</v>
      </c>
      <c r="I398" t="str">
        <f t="shared" si="6"/>
        <v>BANCO DO BRASIL S/A.</v>
      </c>
    </row>
    <row r="399" spans="1:9" x14ac:dyDescent="0.25">
      <c r="A399">
        <v>706</v>
      </c>
      <c r="B399" t="s">
        <v>768</v>
      </c>
      <c r="H399" t="s">
        <v>83</v>
      </c>
      <c r="I399" t="str">
        <f t="shared" si="6"/>
        <v>(-) ENCARGOS FINANCEIROS - BANCO DO BRASIL S/A.</v>
      </c>
    </row>
    <row r="400" spans="1:9" x14ac:dyDescent="0.25">
      <c r="A400">
        <v>707</v>
      </c>
      <c r="B400" t="s">
        <v>769</v>
      </c>
      <c r="H400" t="s">
        <v>187</v>
      </c>
      <c r="I400" t="str">
        <f t="shared" si="6"/>
        <v>BANCO BRADESCO S/A.</v>
      </c>
    </row>
    <row r="401" spans="1:9" x14ac:dyDescent="0.25">
      <c r="A401">
        <v>708</v>
      </c>
      <c r="B401" t="s">
        <v>770</v>
      </c>
      <c r="H401" t="s">
        <v>84</v>
      </c>
      <c r="I401" t="str">
        <f t="shared" si="6"/>
        <v>(-) ENCARGOS FINANCEIROS - BANCO BRADESCO S/A.</v>
      </c>
    </row>
    <row r="402" spans="1:9" x14ac:dyDescent="0.25">
      <c r="A402">
        <v>709</v>
      </c>
      <c r="B402" t="s">
        <v>771</v>
      </c>
      <c r="H402" t="s">
        <v>189</v>
      </c>
      <c r="I402" t="str">
        <f t="shared" si="6"/>
        <v>BANCO ITAU UNIBANCO S/A.</v>
      </c>
    </row>
    <row r="403" spans="1:9" x14ac:dyDescent="0.25">
      <c r="A403">
        <v>710</v>
      </c>
      <c r="B403" t="s">
        <v>772</v>
      </c>
      <c r="H403" t="s">
        <v>85</v>
      </c>
      <c r="I403" t="str">
        <f t="shared" si="6"/>
        <v>(-) ENCARGOS FINANCEIROS - BANCO ITAU UNIBANCO S/A.</v>
      </c>
    </row>
    <row r="404" spans="1:9" x14ac:dyDescent="0.25">
      <c r="A404">
        <v>711</v>
      </c>
      <c r="B404" t="s">
        <v>773</v>
      </c>
      <c r="H404" t="s">
        <v>56</v>
      </c>
      <c r="I404" t="str">
        <f t="shared" si="6"/>
        <v>BANCO SANTANDER S/A.</v>
      </c>
    </row>
    <row r="405" spans="1:9" x14ac:dyDescent="0.25">
      <c r="A405">
        <v>712</v>
      </c>
      <c r="B405" t="s">
        <v>774</v>
      </c>
      <c r="H405" t="s">
        <v>86</v>
      </c>
      <c r="I405" t="str">
        <f t="shared" si="6"/>
        <v>(-) ENCARGOS FINANCEIROS - BANCO SANTANDER S/A.</v>
      </c>
    </row>
    <row r="406" spans="1:9" x14ac:dyDescent="0.25">
      <c r="A406">
        <v>713</v>
      </c>
      <c r="B406" t="s">
        <v>775</v>
      </c>
      <c r="H406" t="s">
        <v>1583</v>
      </c>
      <c r="I406" t="str">
        <f t="shared" si="6"/>
        <v>BANCO HSBC S/A</v>
      </c>
    </row>
    <row r="407" spans="1:9" x14ac:dyDescent="0.25">
      <c r="A407">
        <v>714</v>
      </c>
      <c r="B407" t="s">
        <v>776</v>
      </c>
      <c r="H407" t="s">
        <v>87</v>
      </c>
      <c r="I407" t="str">
        <f t="shared" si="6"/>
        <v>(-) ENCARGOS FINANCEIROS - BANCO HSBC S/A.</v>
      </c>
    </row>
    <row r="408" spans="1:9" x14ac:dyDescent="0.25">
      <c r="A408">
        <v>715</v>
      </c>
      <c r="B408" t="s">
        <v>777</v>
      </c>
      <c r="H408" t="s">
        <v>192</v>
      </c>
      <c r="I408" t="str">
        <f t="shared" si="6"/>
        <v>BANCO SAFRA S/A.</v>
      </c>
    </row>
    <row r="409" spans="1:9" x14ac:dyDescent="0.25">
      <c r="A409">
        <v>716</v>
      </c>
      <c r="B409" t="s">
        <v>778</v>
      </c>
      <c r="H409" t="s">
        <v>88</v>
      </c>
      <c r="I409" t="str">
        <f t="shared" si="6"/>
        <v>(-) ENCARGOS FINANCEIROS - BANCO SAFRA S/A.</v>
      </c>
    </row>
    <row r="410" spans="1:9" x14ac:dyDescent="0.25">
      <c r="A410">
        <v>717</v>
      </c>
      <c r="B410" t="s">
        <v>779</v>
      </c>
      <c r="H410" t="s">
        <v>1119</v>
      </c>
      <c r="I410" t="str">
        <f t="shared" si="6"/>
        <v>CAIXA ECONOMICA FEDERAL</v>
      </c>
    </row>
    <row r="411" spans="1:9" x14ac:dyDescent="0.25">
      <c r="A411">
        <v>718</v>
      </c>
      <c r="B411" t="s">
        <v>780</v>
      </c>
      <c r="H411" t="s">
        <v>89</v>
      </c>
      <c r="I411" t="str">
        <f t="shared" si="6"/>
        <v>(-) ENCARGOS FINANCEIROS - CAIXA ECONOMICA FEDERAL</v>
      </c>
    </row>
    <row r="412" spans="1:9" x14ac:dyDescent="0.25">
      <c r="A412">
        <v>719</v>
      </c>
      <c r="B412" t="s">
        <v>781</v>
      </c>
      <c r="H412" t="s">
        <v>1120</v>
      </c>
      <c r="I412" t="str">
        <f t="shared" si="6"/>
        <v>UNICRED COOPERATIVA DE CREDITO</v>
      </c>
    </row>
    <row r="413" spans="1:9" x14ac:dyDescent="0.25">
      <c r="A413">
        <v>720</v>
      </c>
      <c r="B413" t="s">
        <v>782</v>
      </c>
      <c r="H413" t="s">
        <v>90</v>
      </c>
      <c r="I413" t="str">
        <f t="shared" si="6"/>
        <v>(-) ENCARGOS FINANCEIROS - UNICRED COOPERATIVA DE CREDITO</v>
      </c>
    </row>
    <row r="414" spans="1:9" x14ac:dyDescent="0.25">
      <c r="A414">
        <v>721</v>
      </c>
      <c r="B414" t="s">
        <v>783</v>
      </c>
      <c r="H414" t="s">
        <v>1121</v>
      </c>
      <c r="I414" t="str">
        <f t="shared" si="6"/>
        <v>BANCO CITIBANK S/A.</v>
      </c>
    </row>
    <row r="415" spans="1:9" x14ac:dyDescent="0.25">
      <c r="A415">
        <v>722</v>
      </c>
      <c r="B415" t="s">
        <v>784</v>
      </c>
      <c r="H415" t="s">
        <v>91</v>
      </c>
      <c r="I415" t="str">
        <f t="shared" si="6"/>
        <v>(-) ENCARGOS FINANCEIROS - BANCO CITIBANK S/A.</v>
      </c>
    </row>
    <row r="416" spans="1:9" x14ac:dyDescent="0.25">
      <c r="A416">
        <v>723</v>
      </c>
      <c r="B416" t="s">
        <v>785</v>
      </c>
      <c r="H416" t="s">
        <v>1122</v>
      </c>
      <c r="I416" t="str">
        <f t="shared" si="6"/>
        <v>BANCO SOFISA S/A.</v>
      </c>
    </row>
    <row r="417" spans="1:9" x14ac:dyDescent="0.25">
      <c r="A417">
        <v>724</v>
      </c>
      <c r="B417" t="s">
        <v>786</v>
      </c>
      <c r="H417" t="s">
        <v>92</v>
      </c>
      <c r="I417" t="str">
        <f t="shared" si="6"/>
        <v>(-) ENCARGOS FINANCEIROS - BANCO SOFISA S/A.</v>
      </c>
    </row>
    <row r="418" spans="1:9" x14ac:dyDescent="0.25">
      <c r="A418">
        <v>220</v>
      </c>
      <c r="B418" t="s">
        <v>787</v>
      </c>
      <c r="G418" t="s">
        <v>1585</v>
      </c>
      <c r="I418" t="str">
        <f t="shared" si="6"/>
        <v>EMPRÉSTIMOS ESTRANGEIROS</v>
      </c>
    </row>
    <row r="419" spans="1:9" x14ac:dyDescent="0.25">
      <c r="A419">
        <v>221</v>
      </c>
      <c r="B419" t="s">
        <v>788</v>
      </c>
      <c r="G419" t="s">
        <v>1586</v>
      </c>
      <c r="I419" t="str">
        <f t="shared" si="6"/>
        <v>FINANCIAMENTOS</v>
      </c>
    </row>
    <row r="420" spans="1:9" x14ac:dyDescent="0.25">
      <c r="A420">
        <v>222</v>
      </c>
      <c r="B420" t="s">
        <v>789</v>
      </c>
      <c r="H420" t="s">
        <v>1587</v>
      </c>
      <c r="I420" t="str">
        <f t="shared" si="6"/>
        <v>BANCO FINASA S/A</v>
      </c>
    </row>
    <row r="421" spans="1:9" x14ac:dyDescent="0.25">
      <c r="A421">
        <v>223</v>
      </c>
      <c r="B421" t="s">
        <v>790</v>
      </c>
      <c r="G421" t="s">
        <v>1588</v>
      </c>
      <c r="I421" t="str">
        <f t="shared" si="6"/>
        <v>FINANCIAMENTOS ESTRANGEIROS</v>
      </c>
    </row>
    <row r="422" spans="1:9" x14ac:dyDescent="0.25">
      <c r="A422">
        <v>225</v>
      </c>
      <c r="B422" t="s">
        <v>791</v>
      </c>
      <c r="G422" t="s">
        <v>1516</v>
      </c>
      <c r="I422" t="str">
        <f t="shared" si="6"/>
        <v>CONTROLADORA, CONTROLADAS E COLIGADAS</v>
      </c>
    </row>
    <row r="423" spans="1:9" x14ac:dyDescent="0.25">
      <c r="A423">
        <v>226</v>
      </c>
      <c r="B423" t="s">
        <v>792</v>
      </c>
      <c r="G423" t="s">
        <v>1589</v>
      </c>
      <c r="I423" t="str">
        <f t="shared" si="6"/>
        <v>OUTROS DÉBITOS COM SÓCIOS, ADM, PESSOAS</v>
      </c>
    </row>
    <row r="424" spans="1:9" x14ac:dyDescent="0.25">
      <c r="A424">
        <v>725</v>
      </c>
      <c r="B424" t="s">
        <v>1915</v>
      </c>
      <c r="H424" t="s">
        <v>1943</v>
      </c>
      <c r="I424" t="str">
        <f t="shared" si="6"/>
        <v>GILBERTO BIANCHINI PONTES</v>
      </c>
    </row>
    <row r="425" spans="1:9" x14ac:dyDescent="0.25">
      <c r="A425">
        <v>224</v>
      </c>
      <c r="B425" t="s">
        <v>793</v>
      </c>
      <c r="G425" t="s">
        <v>1511</v>
      </c>
      <c r="I425" t="str">
        <f t="shared" si="6"/>
        <v>ARRENDAMENTO MERCANTIL</v>
      </c>
    </row>
    <row r="426" spans="1:9" x14ac:dyDescent="0.25">
      <c r="A426">
        <v>726</v>
      </c>
      <c r="B426" t="s">
        <v>794</v>
      </c>
      <c r="H426" t="s">
        <v>185</v>
      </c>
      <c r="I426" t="str">
        <f t="shared" si="6"/>
        <v>BANCO DO BRASIL S/A.</v>
      </c>
    </row>
    <row r="427" spans="1:9" x14ac:dyDescent="0.25">
      <c r="A427">
        <v>727</v>
      </c>
      <c r="B427" t="s">
        <v>795</v>
      </c>
      <c r="H427" t="s">
        <v>83</v>
      </c>
      <c r="I427" t="str">
        <f t="shared" si="6"/>
        <v>(-) ENCARGOS FINANCEIROS - BANCO DO BRASIL S/A.</v>
      </c>
    </row>
    <row r="428" spans="1:9" x14ac:dyDescent="0.25">
      <c r="A428">
        <v>728</v>
      </c>
      <c r="B428" t="s">
        <v>796</v>
      </c>
      <c r="H428" t="s">
        <v>187</v>
      </c>
      <c r="I428" t="str">
        <f t="shared" si="6"/>
        <v>BANCO BRADESCO S/A.</v>
      </c>
    </row>
    <row r="429" spans="1:9" x14ac:dyDescent="0.25">
      <c r="A429">
        <v>729</v>
      </c>
      <c r="B429" t="s">
        <v>797</v>
      </c>
      <c r="H429" t="s">
        <v>84</v>
      </c>
      <c r="I429" t="str">
        <f t="shared" si="6"/>
        <v>(-) ENCARGOS FINANCEIROS - BANCO BRADESCO S/A.</v>
      </c>
    </row>
    <row r="430" spans="1:9" x14ac:dyDescent="0.25">
      <c r="A430">
        <v>730</v>
      </c>
      <c r="B430" t="s">
        <v>798</v>
      </c>
      <c r="H430" t="s">
        <v>189</v>
      </c>
      <c r="I430" t="str">
        <f t="shared" si="6"/>
        <v>BANCO ITAU UNIBANCO S/A.</v>
      </c>
    </row>
    <row r="431" spans="1:9" x14ac:dyDescent="0.25">
      <c r="A431">
        <v>731</v>
      </c>
      <c r="B431" t="s">
        <v>799</v>
      </c>
      <c r="H431" t="s">
        <v>85</v>
      </c>
      <c r="I431" t="str">
        <f t="shared" si="6"/>
        <v>(-) ENCARGOS FINANCEIROS - BANCO ITAU UNIBANCO S/A.</v>
      </c>
    </row>
    <row r="432" spans="1:9" x14ac:dyDescent="0.25">
      <c r="A432">
        <v>732</v>
      </c>
      <c r="B432" t="s">
        <v>800</v>
      </c>
      <c r="H432" t="s">
        <v>56</v>
      </c>
      <c r="I432" t="str">
        <f t="shared" si="6"/>
        <v>BANCO SANTANDER S/A.</v>
      </c>
    </row>
    <row r="433" spans="1:9" x14ac:dyDescent="0.25">
      <c r="A433">
        <v>733</v>
      </c>
      <c r="B433" t="s">
        <v>801</v>
      </c>
      <c r="H433" t="s">
        <v>86</v>
      </c>
      <c r="I433" t="str">
        <f t="shared" si="6"/>
        <v>(-) ENCARGOS FINANCEIROS - BANCO SANTANDER S/A.</v>
      </c>
    </row>
    <row r="434" spans="1:9" x14ac:dyDescent="0.25">
      <c r="A434">
        <v>734</v>
      </c>
      <c r="B434" t="s">
        <v>802</v>
      </c>
      <c r="H434" t="s">
        <v>1118</v>
      </c>
      <c r="I434" t="str">
        <f t="shared" si="6"/>
        <v>BANCO HSBC S/A.</v>
      </c>
    </row>
    <row r="435" spans="1:9" x14ac:dyDescent="0.25">
      <c r="A435">
        <v>735</v>
      </c>
      <c r="B435" t="s">
        <v>803</v>
      </c>
      <c r="H435" t="s">
        <v>87</v>
      </c>
      <c r="I435" t="str">
        <f t="shared" si="6"/>
        <v>(-) ENCARGOS FINANCEIROS - BANCO HSBC S/A.</v>
      </c>
    </row>
    <row r="436" spans="1:9" x14ac:dyDescent="0.25">
      <c r="A436">
        <v>736</v>
      </c>
      <c r="B436" t="s">
        <v>804</v>
      </c>
      <c r="H436" t="s">
        <v>192</v>
      </c>
      <c r="I436" t="str">
        <f t="shared" si="6"/>
        <v>BANCO SAFRA S/A.</v>
      </c>
    </row>
    <row r="437" spans="1:9" x14ac:dyDescent="0.25">
      <c r="A437">
        <v>737</v>
      </c>
      <c r="B437" t="s">
        <v>805</v>
      </c>
      <c r="H437" t="s">
        <v>88</v>
      </c>
      <c r="I437" t="str">
        <f t="shared" si="6"/>
        <v>(-) ENCARGOS FINANCEIROS - BANCO SAFRA S/A.</v>
      </c>
    </row>
    <row r="438" spans="1:9" x14ac:dyDescent="0.25">
      <c r="A438">
        <v>738</v>
      </c>
      <c r="B438" t="s">
        <v>806</v>
      </c>
      <c r="H438" t="s">
        <v>1119</v>
      </c>
      <c r="I438" t="str">
        <f t="shared" si="6"/>
        <v>CAIXA ECONOMICA FEDERAL</v>
      </c>
    </row>
    <row r="439" spans="1:9" x14ac:dyDescent="0.25">
      <c r="A439">
        <v>739</v>
      </c>
      <c r="B439" t="s">
        <v>807</v>
      </c>
      <c r="H439" t="s">
        <v>89</v>
      </c>
      <c r="I439" t="str">
        <f t="shared" si="6"/>
        <v>(-) ENCARGOS FINANCEIROS - CAIXA ECONOMICA FEDERAL</v>
      </c>
    </row>
    <row r="440" spans="1:9" x14ac:dyDescent="0.25">
      <c r="A440">
        <v>740</v>
      </c>
      <c r="B440" t="s">
        <v>808</v>
      </c>
      <c r="H440" t="s">
        <v>1120</v>
      </c>
      <c r="I440" t="str">
        <f t="shared" si="6"/>
        <v>UNICRED COOPERATIVA DE CREDITO</v>
      </c>
    </row>
    <row r="441" spans="1:9" x14ac:dyDescent="0.25">
      <c r="A441">
        <v>741</v>
      </c>
      <c r="B441" t="s">
        <v>809</v>
      </c>
      <c r="H441" t="s">
        <v>90</v>
      </c>
      <c r="I441" t="str">
        <f t="shared" si="6"/>
        <v>(-) ENCARGOS FINANCEIROS - UNICRED COOPERATIVA DE CREDITO</v>
      </c>
    </row>
    <row r="442" spans="1:9" x14ac:dyDescent="0.25">
      <c r="A442">
        <v>742</v>
      </c>
      <c r="B442" t="s">
        <v>810</v>
      </c>
      <c r="H442" t="s">
        <v>1121</v>
      </c>
      <c r="I442" t="str">
        <f t="shared" si="6"/>
        <v>BANCO CITIBANK S/A.</v>
      </c>
    </row>
    <row r="443" spans="1:9" x14ac:dyDescent="0.25">
      <c r="A443">
        <v>743</v>
      </c>
      <c r="B443" t="s">
        <v>811</v>
      </c>
      <c r="H443" t="s">
        <v>91</v>
      </c>
      <c r="I443" t="str">
        <f t="shared" si="6"/>
        <v>(-) ENCARGOS FINANCEIROS - BANCO CITIBANK S/A.</v>
      </c>
    </row>
    <row r="444" spans="1:9" x14ac:dyDescent="0.25">
      <c r="A444">
        <v>744</v>
      </c>
      <c r="B444" t="s">
        <v>812</v>
      </c>
      <c r="H444" t="s">
        <v>1122</v>
      </c>
      <c r="I444" t="str">
        <f t="shared" si="6"/>
        <v>BANCO SOFISA S/A.</v>
      </c>
    </row>
    <row r="445" spans="1:9" x14ac:dyDescent="0.25">
      <c r="A445">
        <v>745</v>
      </c>
      <c r="B445" t="s">
        <v>813</v>
      </c>
      <c r="H445" t="s">
        <v>92</v>
      </c>
      <c r="I445" t="str">
        <f t="shared" si="6"/>
        <v>(-) ENCARGOS FINANCEIROS - BANCO SOFISA S/A.</v>
      </c>
    </row>
    <row r="446" spans="1:9" x14ac:dyDescent="0.25">
      <c r="A446">
        <v>746</v>
      </c>
      <c r="B446" t="s">
        <v>814</v>
      </c>
      <c r="G446" t="s">
        <v>1590</v>
      </c>
      <c r="I446" t="str">
        <f t="shared" si="6"/>
        <v>FINAME</v>
      </c>
    </row>
    <row r="447" spans="1:9" x14ac:dyDescent="0.25">
      <c r="A447">
        <v>747</v>
      </c>
      <c r="B447" t="s">
        <v>815</v>
      </c>
      <c r="H447" t="s">
        <v>185</v>
      </c>
      <c r="I447" t="str">
        <f t="shared" si="6"/>
        <v>BANCO DO BRASIL S/A.</v>
      </c>
    </row>
    <row r="448" spans="1:9" x14ac:dyDescent="0.25">
      <c r="A448">
        <v>748</v>
      </c>
      <c r="B448" t="s">
        <v>816</v>
      </c>
      <c r="H448" t="s">
        <v>83</v>
      </c>
      <c r="I448" t="str">
        <f t="shared" si="6"/>
        <v>(-) ENCARGOS FINANCEIROS - BANCO DO BRASIL S/A.</v>
      </c>
    </row>
    <row r="449" spans="1:9" x14ac:dyDescent="0.25">
      <c r="A449">
        <v>749</v>
      </c>
      <c r="B449" t="s">
        <v>817</v>
      </c>
      <c r="H449" t="s">
        <v>187</v>
      </c>
      <c r="I449" t="str">
        <f t="shared" si="6"/>
        <v>BANCO BRADESCO S/A.</v>
      </c>
    </row>
    <row r="450" spans="1:9" x14ac:dyDescent="0.25">
      <c r="A450">
        <v>750</v>
      </c>
      <c r="B450" t="s">
        <v>818</v>
      </c>
      <c r="H450" t="s">
        <v>84</v>
      </c>
      <c r="I450" t="str">
        <f t="shared" si="6"/>
        <v>(-) ENCARGOS FINANCEIROS - BANCO BRADESCO S/A.</v>
      </c>
    </row>
    <row r="451" spans="1:9" x14ac:dyDescent="0.25">
      <c r="A451">
        <v>751</v>
      </c>
      <c r="B451" t="s">
        <v>819</v>
      </c>
      <c r="H451" t="s">
        <v>189</v>
      </c>
      <c r="I451" t="str">
        <f t="shared" si="6"/>
        <v>BANCO ITAU UNIBANCO S/A.</v>
      </c>
    </row>
    <row r="452" spans="1:9" x14ac:dyDescent="0.25">
      <c r="A452">
        <v>752</v>
      </c>
      <c r="B452" t="s">
        <v>820</v>
      </c>
      <c r="H452" t="s">
        <v>116</v>
      </c>
      <c r="I452" t="str">
        <f t="shared" si="6"/>
        <v>(-) ENCARGOS FINANCEIROS BANCO ITAU UNIBANCO S/A.</v>
      </c>
    </row>
    <row r="453" spans="1:9" x14ac:dyDescent="0.25">
      <c r="A453">
        <v>766</v>
      </c>
      <c r="B453" t="s">
        <v>821</v>
      </c>
      <c r="H453" t="s">
        <v>92</v>
      </c>
      <c r="I453" t="str">
        <f t="shared" si="6"/>
        <v>(-) ENCARGOS FINANCEIROS - BANCO SOFISA S/A.</v>
      </c>
    </row>
    <row r="454" spans="1:9" x14ac:dyDescent="0.25">
      <c r="A454">
        <v>227</v>
      </c>
      <c r="B454" t="s">
        <v>822</v>
      </c>
      <c r="F454" t="s">
        <v>6</v>
      </c>
      <c r="I454" t="str">
        <f t="shared" si="6"/>
        <v>FORNECEDORES</v>
      </c>
    </row>
    <row r="455" spans="1:9" x14ac:dyDescent="0.25">
      <c r="A455">
        <v>228</v>
      </c>
      <c r="B455" t="s">
        <v>823</v>
      </c>
      <c r="G455" t="s">
        <v>6</v>
      </c>
      <c r="I455" t="str">
        <f t="shared" si="6"/>
        <v>FORNECEDORES</v>
      </c>
    </row>
    <row r="456" spans="1:9" x14ac:dyDescent="0.25">
      <c r="A456">
        <v>229</v>
      </c>
      <c r="B456" t="s">
        <v>824</v>
      </c>
      <c r="H456" t="s">
        <v>1591</v>
      </c>
      <c r="I456" t="str">
        <f t="shared" si="6"/>
        <v>FORNECEDOR A</v>
      </c>
    </row>
    <row r="457" spans="1:9" x14ac:dyDescent="0.25">
      <c r="A457">
        <v>230</v>
      </c>
      <c r="B457" t="s">
        <v>1916</v>
      </c>
      <c r="H457" t="s">
        <v>1592</v>
      </c>
      <c r="I457" t="str">
        <f t="shared" ref="I457:I520" si="7">IF(H457&lt;&gt;"",H457,IF(G457&lt;&gt;"",G457,IF(F457&lt;&gt;"",F457,IF(E457&lt;&gt;"",E457,IF(D457&lt;&gt;"",D457,IF(C457&lt;&gt;"",C457,B457))))))</f>
        <v>FORNECEDOR B</v>
      </c>
    </row>
    <row r="458" spans="1:9" x14ac:dyDescent="0.25">
      <c r="A458">
        <v>231</v>
      </c>
      <c r="B458" t="s">
        <v>825</v>
      </c>
      <c r="G458" t="s">
        <v>1508</v>
      </c>
      <c r="I458" t="str">
        <f t="shared" si="7"/>
        <v>FORNECEDORES ESTRANGEIROS</v>
      </c>
    </row>
    <row r="459" spans="1:9" x14ac:dyDescent="0.25">
      <c r="A459">
        <v>232</v>
      </c>
      <c r="B459" t="s">
        <v>826</v>
      </c>
      <c r="F459" t="s">
        <v>93</v>
      </c>
      <c r="I459" t="str">
        <f t="shared" si="7"/>
        <v>OBRIGAÇÕES TRIBUTÁRIAS</v>
      </c>
    </row>
    <row r="460" spans="1:9" x14ac:dyDescent="0.25">
      <c r="A460">
        <v>233</v>
      </c>
      <c r="B460" t="s">
        <v>827</v>
      </c>
      <c r="G460" t="s">
        <v>94</v>
      </c>
      <c r="I460" t="str">
        <f t="shared" si="7"/>
        <v>IMPOSTOS E CONTRIBUIÇÕES A RECOLHER</v>
      </c>
    </row>
    <row r="461" spans="1:9" x14ac:dyDescent="0.25">
      <c r="A461">
        <v>234</v>
      </c>
      <c r="B461" t="s">
        <v>828</v>
      </c>
      <c r="H461" t="s">
        <v>1593</v>
      </c>
      <c r="I461" t="str">
        <f t="shared" si="7"/>
        <v>PROVISÃO PARA IR SOBRE LUCROS DIFERIDOS</v>
      </c>
    </row>
    <row r="462" spans="1:9" x14ac:dyDescent="0.25">
      <c r="A462">
        <v>235</v>
      </c>
      <c r="B462" t="s">
        <v>829</v>
      </c>
      <c r="H462" t="s">
        <v>1594</v>
      </c>
      <c r="I462" t="str">
        <f t="shared" si="7"/>
        <v>CRÉDITOS DA CSLL SOBRE BENS DO ATIVO</v>
      </c>
    </row>
    <row r="463" spans="1:9" x14ac:dyDescent="0.25">
      <c r="A463">
        <v>753</v>
      </c>
      <c r="B463" t="s">
        <v>830</v>
      </c>
      <c r="G463" t="s">
        <v>1571</v>
      </c>
      <c r="I463" t="str">
        <f t="shared" si="7"/>
        <v>OBRIGAÇÕES PARCELADAS</v>
      </c>
    </row>
    <row r="464" spans="1:9" x14ac:dyDescent="0.25">
      <c r="A464">
        <v>754</v>
      </c>
      <c r="B464" t="s">
        <v>1917</v>
      </c>
      <c r="H464" t="s">
        <v>1595</v>
      </c>
      <c r="I464" t="str">
        <f t="shared" si="7"/>
        <v>IRPJ</v>
      </c>
    </row>
    <row r="465" spans="1:9" x14ac:dyDescent="0.25">
      <c r="A465">
        <v>755</v>
      </c>
      <c r="B465" t="s">
        <v>831</v>
      </c>
      <c r="H465" t="s">
        <v>117</v>
      </c>
      <c r="I465" t="str">
        <f t="shared" si="7"/>
        <v>(-) ENCARGOS FINANCEIROS - IRPJ</v>
      </c>
    </row>
    <row r="466" spans="1:9" x14ac:dyDescent="0.25">
      <c r="A466">
        <v>756</v>
      </c>
      <c r="B466" t="s">
        <v>1918</v>
      </c>
      <c r="H466" t="s">
        <v>1596</v>
      </c>
      <c r="I466" t="str">
        <f t="shared" si="7"/>
        <v>CSLL</v>
      </c>
    </row>
    <row r="467" spans="1:9" x14ac:dyDescent="0.25">
      <c r="A467">
        <v>757</v>
      </c>
      <c r="B467" t="s">
        <v>832</v>
      </c>
      <c r="H467" t="s">
        <v>118</v>
      </c>
      <c r="I467" t="str">
        <f t="shared" si="7"/>
        <v>(-) ENCARGOS FINANCEIROS - CSLL</v>
      </c>
    </row>
    <row r="468" spans="1:9" x14ac:dyDescent="0.25">
      <c r="A468">
        <v>758</v>
      </c>
      <c r="B468" t="s">
        <v>1919</v>
      </c>
      <c r="H468" t="s">
        <v>1597</v>
      </c>
      <c r="I468" t="str">
        <f t="shared" si="7"/>
        <v>PIS</v>
      </c>
    </row>
    <row r="469" spans="1:9" x14ac:dyDescent="0.25">
      <c r="A469">
        <v>759</v>
      </c>
      <c r="B469" t="s">
        <v>833</v>
      </c>
      <c r="H469" t="s">
        <v>119</v>
      </c>
      <c r="I469" t="str">
        <f t="shared" si="7"/>
        <v>(-) ENCARGOS FINANCEIROS - PIS</v>
      </c>
    </row>
    <row r="470" spans="1:9" x14ac:dyDescent="0.25">
      <c r="A470">
        <v>760</v>
      </c>
      <c r="B470" t="s">
        <v>1920</v>
      </c>
      <c r="H470" t="s">
        <v>1598</v>
      </c>
      <c r="I470" t="str">
        <f t="shared" si="7"/>
        <v>COFINS</v>
      </c>
    </row>
    <row r="471" spans="1:9" x14ac:dyDescent="0.25">
      <c r="A471">
        <v>761</v>
      </c>
      <c r="B471" t="s">
        <v>834</v>
      </c>
      <c r="H471" t="s">
        <v>120</v>
      </c>
      <c r="I471" t="str">
        <f t="shared" si="7"/>
        <v>(-) ENCARGOS FINANCEIROS - COFINS</v>
      </c>
    </row>
    <row r="472" spans="1:9" x14ac:dyDescent="0.25">
      <c r="A472">
        <v>762</v>
      </c>
      <c r="B472" t="s">
        <v>1921</v>
      </c>
      <c r="H472" t="s">
        <v>1599</v>
      </c>
      <c r="I472" t="str">
        <f t="shared" si="7"/>
        <v>IPI</v>
      </c>
    </row>
    <row r="473" spans="1:9" x14ac:dyDescent="0.25">
      <c r="A473">
        <v>763</v>
      </c>
      <c r="B473" t="s">
        <v>835</v>
      </c>
      <c r="H473" t="s">
        <v>121</v>
      </c>
      <c r="I473" t="str">
        <f t="shared" si="7"/>
        <v>(-) ENCARGOS FINANCEIROS - IPI</v>
      </c>
    </row>
    <row r="474" spans="1:9" x14ac:dyDescent="0.25">
      <c r="A474">
        <v>764</v>
      </c>
      <c r="B474" t="s">
        <v>836</v>
      </c>
      <c r="H474" t="s">
        <v>1944</v>
      </c>
      <c r="I474" t="str">
        <f t="shared" si="7"/>
        <v>PARC. INSS - PED. 1375926 - COD. 4308</v>
      </c>
    </row>
    <row r="475" spans="1:9" x14ac:dyDescent="0.25">
      <c r="A475">
        <v>765</v>
      </c>
      <c r="B475" t="s">
        <v>837</v>
      </c>
      <c r="H475" t="s">
        <v>122</v>
      </c>
      <c r="I475" t="str">
        <f t="shared" si="7"/>
        <v>(-) ENCARGOS FINANCEIROS - SIMPLES NACIONAL</v>
      </c>
    </row>
    <row r="476" spans="1:9" x14ac:dyDescent="0.25">
      <c r="A476">
        <v>236</v>
      </c>
      <c r="B476" t="s">
        <v>838</v>
      </c>
      <c r="F476" t="s">
        <v>109</v>
      </c>
      <c r="I476" t="str">
        <f t="shared" si="7"/>
        <v>OUTRAS OBRIGAÇÕES</v>
      </c>
    </row>
    <row r="477" spans="1:9" x14ac:dyDescent="0.25">
      <c r="A477">
        <v>237</v>
      </c>
      <c r="B477" t="s">
        <v>839</v>
      </c>
      <c r="G477" t="s">
        <v>110</v>
      </c>
      <c r="I477" t="str">
        <f t="shared" si="7"/>
        <v>CONTAS A PAGAR</v>
      </c>
    </row>
    <row r="478" spans="1:9" x14ac:dyDescent="0.25">
      <c r="A478">
        <v>242</v>
      </c>
      <c r="B478" t="s">
        <v>342</v>
      </c>
      <c r="D478" t="s">
        <v>123</v>
      </c>
      <c r="I478" t="str">
        <f t="shared" si="7"/>
        <v>PATRIMÔNIO LÍQUIDO</v>
      </c>
    </row>
    <row r="479" spans="1:9" x14ac:dyDescent="0.25">
      <c r="A479">
        <v>243</v>
      </c>
      <c r="B479" t="s">
        <v>343</v>
      </c>
      <c r="E479" t="s">
        <v>124</v>
      </c>
      <c r="I479" t="str">
        <f t="shared" si="7"/>
        <v>CAPITAL SOCIAL</v>
      </c>
    </row>
    <row r="480" spans="1:9" x14ac:dyDescent="0.25">
      <c r="A480">
        <v>244</v>
      </c>
      <c r="B480" t="s">
        <v>840</v>
      </c>
      <c r="F480" t="s">
        <v>125</v>
      </c>
      <c r="I480" t="str">
        <f t="shared" si="7"/>
        <v>CAPITAL SUBSCRITO</v>
      </c>
    </row>
    <row r="481" spans="1:9" x14ac:dyDescent="0.25">
      <c r="A481">
        <v>245</v>
      </c>
      <c r="B481" t="s">
        <v>841</v>
      </c>
      <c r="G481" t="s">
        <v>124</v>
      </c>
      <c r="I481" t="str">
        <f t="shared" si="7"/>
        <v>CAPITAL SOCIAL</v>
      </c>
    </row>
    <row r="482" spans="1:9" x14ac:dyDescent="0.25">
      <c r="A482">
        <v>246</v>
      </c>
      <c r="B482" t="s">
        <v>344</v>
      </c>
      <c r="F482" t="s">
        <v>345</v>
      </c>
      <c r="I482" t="str">
        <f t="shared" si="7"/>
        <v>(-) CAPITAL A INTEGRALIZAR</v>
      </c>
    </row>
    <row r="483" spans="1:9" x14ac:dyDescent="0.25">
      <c r="A483">
        <v>247</v>
      </c>
      <c r="B483" t="s">
        <v>346</v>
      </c>
      <c r="G483" t="s">
        <v>347</v>
      </c>
      <c r="I483" t="str">
        <f t="shared" si="7"/>
        <v>CAPITAL A INTEGRALIZAR</v>
      </c>
    </row>
    <row r="484" spans="1:9" x14ac:dyDescent="0.25">
      <c r="A484">
        <v>249</v>
      </c>
      <c r="B484" t="s">
        <v>842</v>
      </c>
      <c r="E484" t="s">
        <v>1600</v>
      </c>
      <c r="I484" t="str">
        <f t="shared" si="7"/>
        <v>RESERVAS DE CAPITAL</v>
      </c>
    </row>
    <row r="485" spans="1:9" x14ac:dyDescent="0.25">
      <c r="A485">
        <v>251</v>
      </c>
      <c r="B485" t="s">
        <v>843</v>
      </c>
      <c r="F485" t="s">
        <v>1601</v>
      </c>
      <c r="I485" t="str">
        <f t="shared" si="7"/>
        <v>ÁGIO NA EMISSÃO DE AÇÕES</v>
      </c>
    </row>
    <row r="486" spans="1:9" x14ac:dyDescent="0.25">
      <c r="A486">
        <v>252</v>
      </c>
      <c r="B486" t="s">
        <v>844</v>
      </c>
      <c r="F486" t="s">
        <v>1602</v>
      </c>
      <c r="I486" t="str">
        <f t="shared" si="7"/>
        <v>DOAÇÕES E SUBVENÇÕES PARA INVESTIMENTOS</v>
      </c>
    </row>
    <row r="487" spans="1:9" x14ac:dyDescent="0.25">
      <c r="A487">
        <v>253</v>
      </c>
      <c r="B487" t="s">
        <v>845</v>
      </c>
      <c r="F487" t="s">
        <v>1603</v>
      </c>
      <c r="I487" t="str">
        <f t="shared" si="7"/>
        <v>(-) AÇÕES/QUOTAS EM TESOURARIA</v>
      </c>
    </row>
    <row r="488" spans="1:9" x14ac:dyDescent="0.25">
      <c r="A488">
        <v>250</v>
      </c>
      <c r="B488" t="s">
        <v>846</v>
      </c>
      <c r="F488" t="s">
        <v>1604</v>
      </c>
      <c r="I488" t="str">
        <f t="shared" si="7"/>
        <v>CORREÇÃO MONETÁRIA DO CAP. INTEGRALIZADO</v>
      </c>
    </row>
    <row r="489" spans="1:9" x14ac:dyDescent="0.25">
      <c r="A489">
        <v>254</v>
      </c>
      <c r="B489" t="s">
        <v>847</v>
      </c>
      <c r="E489" t="s">
        <v>1605</v>
      </c>
      <c r="I489" t="str">
        <f t="shared" si="7"/>
        <v>RESERVA DE REAVALIAÇÃO</v>
      </c>
    </row>
    <row r="490" spans="1:9" x14ac:dyDescent="0.25">
      <c r="A490">
        <v>256</v>
      </c>
      <c r="B490" t="s">
        <v>848</v>
      </c>
      <c r="F490" t="s">
        <v>1606</v>
      </c>
      <c r="I490" t="str">
        <f t="shared" si="7"/>
        <v>REAVALIAÇÃO DE ATIVOS COLIGADAS</v>
      </c>
    </row>
    <row r="491" spans="1:9" x14ac:dyDescent="0.25">
      <c r="A491">
        <v>255</v>
      </c>
      <c r="B491" t="s">
        <v>849</v>
      </c>
      <c r="F491" t="s">
        <v>1607</v>
      </c>
      <c r="I491" t="str">
        <f t="shared" si="7"/>
        <v>REAVALIAÇÃO DE ATIVOS PRÓPRIOS</v>
      </c>
    </row>
    <row r="492" spans="1:9" x14ac:dyDescent="0.25">
      <c r="A492">
        <v>257</v>
      </c>
      <c r="B492" t="s">
        <v>348</v>
      </c>
      <c r="E492" t="s">
        <v>126</v>
      </c>
      <c r="I492" t="str">
        <f t="shared" si="7"/>
        <v>RESERVAS DE LUCROS</v>
      </c>
    </row>
    <row r="493" spans="1:9" x14ac:dyDescent="0.25">
      <c r="A493">
        <v>259</v>
      </c>
      <c r="B493" t="s">
        <v>850</v>
      </c>
      <c r="F493" t="s">
        <v>1608</v>
      </c>
      <c r="I493" t="str">
        <f t="shared" si="7"/>
        <v>RESERVA ESTATUTÁRIA</v>
      </c>
    </row>
    <row r="494" spans="1:9" x14ac:dyDescent="0.25">
      <c r="A494">
        <v>260</v>
      </c>
      <c r="B494" t="s">
        <v>851</v>
      </c>
      <c r="F494" t="s">
        <v>1609</v>
      </c>
      <c r="I494" t="str">
        <f t="shared" si="7"/>
        <v>RESERVA PARA CONTINGÊNCIAS</v>
      </c>
    </row>
    <row r="495" spans="1:9" x14ac:dyDescent="0.25">
      <c r="A495">
        <v>261</v>
      </c>
      <c r="B495" t="s">
        <v>349</v>
      </c>
      <c r="F495" t="s">
        <v>127</v>
      </c>
      <c r="I495" t="str">
        <f t="shared" si="7"/>
        <v>RESERVA DE LUCROS A REALIZAR</v>
      </c>
    </row>
    <row r="496" spans="1:9" x14ac:dyDescent="0.25">
      <c r="A496">
        <v>262</v>
      </c>
      <c r="B496" t="s">
        <v>350</v>
      </c>
      <c r="F496" t="s">
        <v>1610</v>
      </c>
      <c r="I496" t="str">
        <f t="shared" si="7"/>
        <v>RESERVA ESPECIAL</v>
      </c>
    </row>
    <row r="497" spans="1:9" x14ac:dyDescent="0.25">
      <c r="A497">
        <v>263</v>
      </c>
      <c r="B497" t="s">
        <v>852</v>
      </c>
      <c r="F497" t="s">
        <v>1603</v>
      </c>
      <c r="I497" t="str">
        <f t="shared" si="7"/>
        <v>(-) AÇÕES/QUOTAS EM TESOURARIA</v>
      </c>
    </row>
    <row r="498" spans="1:9" x14ac:dyDescent="0.25">
      <c r="A498">
        <v>258</v>
      </c>
      <c r="B498" t="s">
        <v>351</v>
      </c>
      <c r="F498" t="s">
        <v>352</v>
      </c>
      <c r="I498" t="str">
        <f t="shared" si="7"/>
        <v>RESERVA LEGAL</v>
      </c>
    </row>
    <row r="499" spans="1:9" x14ac:dyDescent="0.25">
      <c r="A499">
        <v>264</v>
      </c>
      <c r="B499" t="s">
        <v>353</v>
      </c>
      <c r="E499" t="s">
        <v>128</v>
      </c>
      <c r="I499" t="str">
        <f t="shared" si="7"/>
        <v>LUCROS OU PREJUÍZOS ACUMULADOS</v>
      </c>
    </row>
    <row r="500" spans="1:9" x14ac:dyDescent="0.25">
      <c r="A500">
        <v>265</v>
      </c>
      <c r="B500" t="s">
        <v>354</v>
      </c>
      <c r="F500" t="s">
        <v>128</v>
      </c>
      <c r="I500" t="str">
        <f t="shared" si="7"/>
        <v>LUCROS OU PREJUÍZOS ACUMULADOS</v>
      </c>
    </row>
    <row r="501" spans="1:9" x14ac:dyDescent="0.25">
      <c r="A501">
        <v>266</v>
      </c>
      <c r="B501" t="s">
        <v>853</v>
      </c>
      <c r="G501" t="s">
        <v>1611</v>
      </c>
      <c r="I501" t="str">
        <f t="shared" si="7"/>
        <v>LUCROS ACUMULADOS</v>
      </c>
    </row>
    <row r="502" spans="1:9" x14ac:dyDescent="0.25">
      <c r="A502">
        <v>267</v>
      </c>
      <c r="B502" t="s">
        <v>854</v>
      </c>
      <c r="G502" t="s">
        <v>1612</v>
      </c>
      <c r="I502" t="str">
        <f t="shared" si="7"/>
        <v>(-) PREJUÍZOS ACUMULADOS</v>
      </c>
    </row>
    <row r="503" spans="1:9" x14ac:dyDescent="0.25">
      <c r="A503">
        <v>268</v>
      </c>
      <c r="B503" t="s">
        <v>355</v>
      </c>
      <c r="G503" t="s">
        <v>129</v>
      </c>
      <c r="I503" t="str">
        <f t="shared" si="7"/>
        <v>RESULTADO DO EXERCÍCIO EM CURSO</v>
      </c>
    </row>
    <row r="504" spans="1:9" x14ac:dyDescent="0.25">
      <c r="A504">
        <v>767</v>
      </c>
      <c r="B504" t="s">
        <v>855</v>
      </c>
      <c r="E504" t="s">
        <v>1613</v>
      </c>
      <c r="I504" t="str">
        <f t="shared" si="7"/>
        <v>CONTAS DE ENCERRAMENTO</v>
      </c>
    </row>
    <row r="505" spans="1:9" x14ac:dyDescent="0.25">
      <c r="A505">
        <v>768</v>
      </c>
      <c r="B505" t="s">
        <v>856</v>
      </c>
      <c r="F505" t="s">
        <v>1614</v>
      </c>
      <c r="I505" t="str">
        <f t="shared" si="7"/>
        <v>ENCERRAMENTO DO EXERCICIO</v>
      </c>
    </row>
    <row r="506" spans="1:9" x14ac:dyDescent="0.25">
      <c r="A506">
        <v>769</v>
      </c>
      <c r="B506" t="s">
        <v>857</v>
      </c>
      <c r="G506" t="s">
        <v>1615</v>
      </c>
      <c r="I506" t="str">
        <f t="shared" si="7"/>
        <v>RESULTADO DO PERIODO</v>
      </c>
    </row>
    <row r="507" spans="1:9" x14ac:dyDescent="0.25">
      <c r="A507">
        <v>770</v>
      </c>
      <c r="B507" t="s">
        <v>356</v>
      </c>
      <c r="E507" t="s">
        <v>357</v>
      </c>
      <c r="I507" t="str">
        <f t="shared" si="7"/>
        <v>CONTAS DE COMPENSAÇÃO</v>
      </c>
    </row>
    <row r="508" spans="1:9" x14ac:dyDescent="0.25">
      <c r="A508">
        <v>771</v>
      </c>
      <c r="B508" t="s">
        <v>358</v>
      </c>
      <c r="F508" t="s">
        <v>357</v>
      </c>
      <c r="I508" t="str">
        <f t="shared" si="7"/>
        <v>CONTAS DE COMPENSAÇÃO</v>
      </c>
    </row>
    <row r="509" spans="1:9" x14ac:dyDescent="0.25">
      <c r="A509">
        <v>772</v>
      </c>
      <c r="B509" t="s">
        <v>359</v>
      </c>
      <c r="G509" t="s">
        <v>360</v>
      </c>
      <c r="I509" t="str">
        <f t="shared" si="7"/>
        <v>BENS EM COMODATO</v>
      </c>
    </row>
    <row r="510" spans="1:9" x14ac:dyDescent="0.25">
      <c r="A510">
        <v>402</v>
      </c>
      <c r="B510" t="s">
        <v>361</v>
      </c>
      <c r="C510" t="s">
        <v>130</v>
      </c>
      <c r="I510" t="str">
        <f t="shared" si="7"/>
        <v>CONTAS DE RESULTADO - RECEITAS</v>
      </c>
    </row>
    <row r="511" spans="1:9" x14ac:dyDescent="0.25">
      <c r="A511">
        <v>403</v>
      </c>
      <c r="B511" t="s">
        <v>362</v>
      </c>
      <c r="D511" t="s">
        <v>131</v>
      </c>
      <c r="I511" t="str">
        <f t="shared" si="7"/>
        <v>RECEITAS OPERACIONAIS</v>
      </c>
    </row>
    <row r="512" spans="1:9" x14ac:dyDescent="0.25">
      <c r="A512">
        <v>404</v>
      </c>
      <c r="B512" t="s">
        <v>858</v>
      </c>
      <c r="E512" t="s">
        <v>132</v>
      </c>
      <c r="I512" t="str">
        <f t="shared" si="7"/>
        <v>RECEITA BRUTA DE VENDAS E SERVIÇOS</v>
      </c>
    </row>
    <row r="513" spans="1:9" x14ac:dyDescent="0.25">
      <c r="A513">
        <v>405</v>
      </c>
      <c r="B513" t="s">
        <v>859</v>
      </c>
      <c r="F513" t="s">
        <v>133</v>
      </c>
      <c r="I513" t="str">
        <f t="shared" si="7"/>
        <v>RECEITA BRUTAS DE VENDAS E MERCADORIAS</v>
      </c>
    </row>
    <row r="514" spans="1:9" x14ac:dyDescent="0.25">
      <c r="A514">
        <v>406</v>
      </c>
      <c r="B514" t="s">
        <v>860</v>
      </c>
      <c r="G514" t="s">
        <v>1616</v>
      </c>
      <c r="I514" t="str">
        <f t="shared" si="7"/>
        <v>VENDA DE PRODUTOS</v>
      </c>
    </row>
    <row r="515" spans="1:9" x14ac:dyDescent="0.25">
      <c r="A515">
        <v>407</v>
      </c>
      <c r="B515" t="s">
        <v>861</v>
      </c>
      <c r="G515" t="s">
        <v>1617</v>
      </c>
      <c r="I515" t="str">
        <f t="shared" si="7"/>
        <v>VENDA DE PRODUTOS NO MERCADO EXTERNO</v>
      </c>
    </row>
    <row r="516" spans="1:9" x14ac:dyDescent="0.25">
      <c r="A516">
        <v>408</v>
      </c>
      <c r="B516" t="s">
        <v>862</v>
      </c>
      <c r="G516" t="s">
        <v>134</v>
      </c>
      <c r="I516" t="str">
        <f t="shared" si="7"/>
        <v>VENDA DE MERCADORIAS</v>
      </c>
    </row>
    <row r="517" spans="1:9" x14ac:dyDescent="0.25">
      <c r="A517">
        <v>409</v>
      </c>
      <c r="B517" t="s">
        <v>863</v>
      </c>
      <c r="G517" t="s">
        <v>1618</v>
      </c>
      <c r="I517" t="str">
        <f t="shared" si="7"/>
        <v>VENDA DE MERCADORIAS NO MERCADO EXTERNO</v>
      </c>
    </row>
    <row r="518" spans="1:9" x14ac:dyDescent="0.25">
      <c r="A518">
        <v>410</v>
      </c>
      <c r="B518" t="s">
        <v>865</v>
      </c>
      <c r="F518" t="s">
        <v>1620</v>
      </c>
      <c r="I518" t="str">
        <f t="shared" si="7"/>
        <v>RECEITA DE PRESTAÇÃO DE SERVIÇOS</v>
      </c>
    </row>
    <row r="519" spans="1:9" x14ac:dyDescent="0.25">
      <c r="A519">
        <v>411</v>
      </c>
      <c r="B519" t="s">
        <v>866</v>
      </c>
      <c r="G519" t="s">
        <v>1621</v>
      </c>
      <c r="I519" t="str">
        <f t="shared" si="7"/>
        <v>SERVIÇOS PRESTADOS</v>
      </c>
    </row>
    <row r="520" spans="1:9" x14ac:dyDescent="0.25">
      <c r="A520">
        <v>1000</v>
      </c>
      <c r="B520" t="s">
        <v>867</v>
      </c>
      <c r="G520" t="s">
        <v>1622</v>
      </c>
      <c r="I520" t="str">
        <f t="shared" si="7"/>
        <v>SERVIÇOS DE BENEFICIAMENTOS</v>
      </c>
    </row>
    <row r="521" spans="1:9" x14ac:dyDescent="0.25">
      <c r="A521">
        <v>412</v>
      </c>
      <c r="B521" t="s">
        <v>867</v>
      </c>
      <c r="G521" t="s">
        <v>1623</v>
      </c>
      <c r="I521" t="str">
        <f t="shared" ref="I521:I584" si="8">IF(H521&lt;&gt;"",H521,IF(G521&lt;&gt;"",G521,IF(F521&lt;&gt;"",F521,IF(E521&lt;&gt;"",E521,IF(D521&lt;&gt;"",D521,IF(C521&lt;&gt;"",C521,B521))))))</f>
        <v>SERVIÇOS PRESTADO MERCADO EXTERNO</v>
      </c>
    </row>
    <row r="522" spans="1:9" x14ac:dyDescent="0.25">
      <c r="A522">
        <v>773</v>
      </c>
      <c r="B522" t="s">
        <v>868</v>
      </c>
      <c r="F522" t="s">
        <v>1624</v>
      </c>
      <c r="I522" t="str">
        <f t="shared" si="8"/>
        <v>RECEITA DAS ATIVIDADES IMOBILIARIAS</v>
      </c>
    </row>
    <row r="523" spans="1:9" x14ac:dyDescent="0.25">
      <c r="A523">
        <v>774</v>
      </c>
      <c r="B523" t="s">
        <v>869</v>
      </c>
      <c r="G523" t="s">
        <v>1625</v>
      </c>
      <c r="I523" t="str">
        <f t="shared" si="8"/>
        <v>RECEITA DA VENDA DAS UNIDADES IMOBILIARIAS</v>
      </c>
    </row>
    <row r="524" spans="1:9" x14ac:dyDescent="0.25">
      <c r="A524">
        <v>775</v>
      </c>
      <c r="B524" t="s">
        <v>870</v>
      </c>
      <c r="G524" t="s">
        <v>1626</v>
      </c>
      <c r="I524" t="str">
        <f t="shared" si="8"/>
        <v>RECEITA DA LOCAÇÃO DE BENS MOVEIS E IMOVEIS</v>
      </c>
    </row>
    <row r="525" spans="1:9" x14ac:dyDescent="0.25">
      <c r="A525">
        <v>1324</v>
      </c>
      <c r="B525" t="s">
        <v>1922</v>
      </c>
      <c r="F525" t="s">
        <v>1945</v>
      </c>
      <c r="I525" t="str">
        <f t="shared" si="8"/>
        <v>RECEITA BRUTA</v>
      </c>
    </row>
    <row r="526" spans="1:9" x14ac:dyDescent="0.25">
      <c r="A526">
        <v>1325</v>
      </c>
      <c r="B526" t="s">
        <v>1923</v>
      </c>
      <c r="G526" t="s">
        <v>1946</v>
      </c>
      <c r="I526" t="str">
        <f t="shared" si="8"/>
        <v>ALUGUEIS</v>
      </c>
    </row>
    <row r="527" spans="1:9" x14ac:dyDescent="0.25">
      <c r="A527">
        <v>413</v>
      </c>
      <c r="B527" t="s">
        <v>363</v>
      </c>
      <c r="E527" t="s">
        <v>135</v>
      </c>
      <c r="I527" t="str">
        <f t="shared" si="8"/>
        <v>(-) DEDUÇÕES DA RECEITA BRUTA</v>
      </c>
    </row>
    <row r="528" spans="1:9" x14ac:dyDescent="0.25">
      <c r="A528">
        <v>414</v>
      </c>
      <c r="B528" t="s">
        <v>364</v>
      </c>
      <c r="F528" t="s">
        <v>136</v>
      </c>
      <c r="I528" t="str">
        <f t="shared" si="8"/>
        <v>(-) CANCELAMENTO E DEVOLUÇÕES</v>
      </c>
    </row>
    <row r="529" spans="1:9" x14ac:dyDescent="0.25">
      <c r="A529">
        <v>415</v>
      </c>
      <c r="B529" t="s">
        <v>871</v>
      </c>
      <c r="G529" t="s">
        <v>1627</v>
      </c>
      <c r="I529" t="str">
        <f t="shared" si="8"/>
        <v>(-) DEVOLUÇÃO DE VENDA DE PRODUTOS</v>
      </c>
    </row>
    <row r="530" spans="1:9" x14ac:dyDescent="0.25">
      <c r="A530">
        <v>416</v>
      </c>
      <c r="B530" t="s">
        <v>872</v>
      </c>
      <c r="G530" t="s">
        <v>1628</v>
      </c>
      <c r="I530" t="str">
        <f t="shared" si="8"/>
        <v>(-) DEV. VENDA DE PRODUTOS MERCADO EXT.</v>
      </c>
    </row>
    <row r="531" spans="1:9" x14ac:dyDescent="0.25">
      <c r="A531">
        <v>417</v>
      </c>
      <c r="B531" t="s">
        <v>873</v>
      </c>
      <c r="G531" t="s">
        <v>137</v>
      </c>
      <c r="I531" t="str">
        <f t="shared" si="8"/>
        <v>(-) DEVOLUÇÃO DE VENDA DE MERCADORIAS</v>
      </c>
    </row>
    <row r="532" spans="1:9" x14ac:dyDescent="0.25">
      <c r="A532">
        <v>418</v>
      </c>
      <c r="B532" t="s">
        <v>874</v>
      </c>
      <c r="G532" t="s">
        <v>1629</v>
      </c>
      <c r="I532" t="str">
        <f t="shared" si="8"/>
        <v>(-) DEV. VENDA DE MERCADORIAS MERC. EXT</v>
      </c>
    </row>
    <row r="533" spans="1:9" x14ac:dyDescent="0.25">
      <c r="A533">
        <v>776</v>
      </c>
      <c r="B533" t="s">
        <v>875</v>
      </c>
      <c r="G533" t="s">
        <v>1630</v>
      </c>
      <c r="I533" t="str">
        <f t="shared" si="8"/>
        <v>ICMS S/ DEVOLUÇÃO DE VENDAS</v>
      </c>
    </row>
    <row r="534" spans="1:9" x14ac:dyDescent="0.25">
      <c r="A534">
        <v>777</v>
      </c>
      <c r="B534" t="s">
        <v>876</v>
      </c>
      <c r="G534" t="s">
        <v>1631</v>
      </c>
      <c r="I534" t="str">
        <f t="shared" si="8"/>
        <v>IPI S/ DEVOLUÇÃO DE VENDAS</v>
      </c>
    </row>
    <row r="535" spans="1:9" x14ac:dyDescent="0.25">
      <c r="A535">
        <v>778</v>
      </c>
      <c r="B535" t="s">
        <v>877</v>
      </c>
      <c r="G535" t="s">
        <v>1632</v>
      </c>
      <c r="I535" t="str">
        <f t="shared" si="8"/>
        <v>COFINS S/ DEVOLUÇÃO DE VENDAS</v>
      </c>
    </row>
    <row r="536" spans="1:9" x14ac:dyDescent="0.25">
      <c r="A536">
        <v>779</v>
      </c>
      <c r="B536" t="s">
        <v>878</v>
      </c>
      <c r="G536" t="s">
        <v>1633</v>
      </c>
      <c r="I536" t="str">
        <f t="shared" si="8"/>
        <v>PIS S/ DEVOLUÇÃO DE VENDAS</v>
      </c>
    </row>
    <row r="537" spans="1:9" x14ac:dyDescent="0.25">
      <c r="A537">
        <v>780</v>
      </c>
      <c r="B537" t="s">
        <v>365</v>
      </c>
      <c r="G537" t="s">
        <v>366</v>
      </c>
      <c r="I537" t="str">
        <f t="shared" si="8"/>
        <v>ICMS OUTROS</v>
      </c>
    </row>
    <row r="538" spans="1:9" x14ac:dyDescent="0.25">
      <c r="A538">
        <v>781</v>
      </c>
      <c r="B538" t="s">
        <v>879</v>
      </c>
      <c r="G538" t="s">
        <v>1634</v>
      </c>
      <c r="I538" t="str">
        <f t="shared" si="8"/>
        <v>IPI OUTROS</v>
      </c>
    </row>
    <row r="539" spans="1:9" x14ac:dyDescent="0.25">
      <c r="A539">
        <v>419</v>
      </c>
      <c r="B539" t="s">
        <v>880</v>
      </c>
      <c r="F539" t="s">
        <v>1635</v>
      </c>
      <c r="I539" t="str">
        <f t="shared" si="8"/>
        <v>(-) DESCONTOS INCONDICIONAIS</v>
      </c>
    </row>
    <row r="540" spans="1:9" x14ac:dyDescent="0.25">
      <c r="A540">
        <v>420</v>
      </c>
      <c r="B540" t="s">
        <v>881</v>
      </c>
      <c r="G540" t="s">
        <v>1636</v>
      </c>
      <c r="I540" t="str">
        <f t="shared" si="8"/>
        <v>(-) DESCONTO VENDA DE PRODUTOS</v>
      </c>
    </row>
    <row r="541" spans="1:9" x14ac:dyDescent="0.25">
      <c r="A541">
        <v>421</v>
      </c>
      <c r="B541" t="s">
        <v>882</v>
      </c>
      <c r="G541" t="s">
        <v>1637</v>
      </c>
      <c r="I541" t="str">
        <f t="shared" si="8"/>
        <v>(-) DESCONTO VENDA DE PRODUTO MERC. EXT</v>
      </c>
    </row>
    <row r="542" spans="1:9" x14ac:dyDescent="0.25">
      <c r="A542">
        <v>422</v>
      </c>
      <c r="B542" t="s">
        <v>883</v>
      </c>
      <c r="G542" t="s">
        <v>1638</v>
      </c>
      <c r="I542" t="str">
        <f t="shared" si="8"/>
        <v>(-) DESCONTO VENDA DE MERCADORIA</v>
      </c>
    </row>
    <row r="543" spans="1:9" x14ac:dyDescent="0.25">
      <c r="A543">
        <v>423</v>
      </c>
      <c r="B543" t="s">
        <v>884</v>
      </c>
      <c r="G543" t="s">
        <v>1639</v>
      </c>
      <c r="I543" t="str">
        <f t="shared" si="8"/>
        <v>(-) DESC. VENDA DE MERCADORIAS MERC. EXT</v>
      </c>
    </row>
    <row r="544" spans="1:9" x14ac:dyDescent="0.25">
      <c r="A544">
        <v>424</v>
      </c>
      <c r="B544" t="s">
        <v>367</v>
      </c>
      <c r="F544" t="s">
        <v>138</v>
      </c>
      <c r="I544" t="str">
        <f t="shared" si="8"/>
        <v>(-) IMPOSTOS SOBRE VENDAS E SERVIÇOS</v>
      </c>
    </row>
    <row r="545" spans="1:9" x14ac:dyDescent="0.25">
      <c r="A545">
        <v>425</v>
      </c>
      <c r="B545" t="s">
        <v>885</v>
      </c>
      <c r="G545" t="s">
        <v>1640</v>
      </c>
      <c r="I545" t="str">
        <f t="shared" si="8"/>
        <v>(-) IPI</v>
      </c>
    </row>
    <row r="546" spans="1:9" x14ac:dyDescent="0.25">
      <c r="A546">
        <v>426</v>
      </c>
      <c r="B546" t="s">
        <v>886</v>
      </c>
      <c r="G546" t="s">
        <v>1641</v>
      </c>
      <c r="I546" t="str">
        <f t="shared" si="8"/>
        <v>(-) ICMS</v>
      </c>
    </row>
    <row r="547" spans="1:9" x14ac:dyDescent="0.25">
      <c r="A547">
        <v>427</v>
      </c>
      <c r="B547" t="s">
        <v>887</v>
      </c>
      <c r="G547" t="s">
        <v>139</v>
      </c>
      <c r="I547" t="str">
        <f t="shared" si="8"/>
        <v>(-) ISS</v>
      </c>
    </row>
    <row r="548" spans="1:9" x14ac:dyDescent="0.25">
      <c r="A548">
        <v>428</v>
      </c>
      <c r="B548" t="s">
        <v>368</v>
      </c>
      <c r="G548" t="s">
        <v>369</v>
      </c>
      <c r="I548" t="str">
        <f t="shared" si="8"/>
        <v>(-) COFINS</v>
      </c>
    </row>
    <row r="549" spans="1:9" x14ac:dyDescent="0.25">
      <c r="A549">
        <v>429</v>
      </c>
      <c r="B549" t="s">
        <v>888</v>
      </c>
      <c r="G549" t="s">
        <v>1642</v>
      </c>
      <c r="I549" t="str">
        <f t="shared" si="8"/>
        <v>(-) PIS</v>
      </c>
    </row>
    <row r="550" spans="1:9" x14ac:dyDescent="0.25">
      <c r="A550">
        <v>477</v>
      </c>
      <c r="B550" t="s">
        <v>889</v>
      </c>
      <c r="G550" t="s">
        <v>1643</v>
      </c>
      <c r="I550" t="str">
        <f t="shared" si="8"/>
        <v>(-) CONTRIBUIÇÃO SOCIAL</v>
      </c>
    </row>
    <row r="551" spans="1:9" x14ac:dyDescent="0.25">
      <c r="A551">
        <v>478</v>
      </c>
      <c r="B551" t="s">
        <v>890</v>
      </c>
      <c r="G551" t="s">
        <v>1644</v>
      </c>
      <c r="I551" t="str">
        <f t="shared" si="8"/>
        <v>(-) IMPOSTO DE RENDA</v>
      </c>
    </row>
    <row r="552" spans="1:9" x14ac:dyDescent="0.25">
      <c r="A552">
        <v>480</v>
      </c>
      <c r="B552" t="s">
        <v>891</v>
      </c>
      <c r="G552" t="s">
        <v>140</v>
      </c>
      <c r="I552" t="str">
        <f t="shared" si="8"/>
        <v>(-) SIMPLES NACIONAL</v>
      </c>
    </row>
    <row r="553" spans="1:9" x14ac:dyDescent="0.25">
      <c r="A553">
        <v>482</v>
      </c>
      <c r="B553" t="s">
        <v>892</v>
      </c>
      <c r="G553" t="s">
        <v>1645</v>
      </c>
      <c r="I553" t="str">
        <f t="shared" si="8"/>
        <v>(-) SUBSTITUIÇÃO TRIBUTÁRIA</v>
      </c>
    </row>
    <row r="554" spans="1:9" x14ac:dyDescent="0.25">
      <c r="A554">
        <v>484</v>
      </c>
      <c r="B554" t="s">
        <v>893</v>
      </c>
      <c r="G554" t="s">
        <v>1646</v>
      </c>
      <c r="I554" t="str">
        <f t="shared" si="8"/>
        <v>(-) REFIS</v>
      </c>
    </row>
    <row r="555" spans="1:9" x14ac:dyDescent="0.25">
      <c r="A555">
        <v>486</v>
      </c>
      <c r="B555" t="s">
        <v>894</v>
      </c>
      <c r="G555" t="s">
        <v>1647</v>
      </c>
      <c r="I555" t="str">
        <f t="shared" si="8"/>
        <v>(-) FIA</v>
      </c>
    </row>
    <row r="556" spans="1:9" x14ac:dyDescent="0.25">
      <c r="A556">
        <v>509</v>
      </c>
      <c r="B556" t="s">
        <v>895</v>
      </c>
      <c r="G556" t="s">
        <v>1648</v>
      </c>
      <c r="I556" t="str">
        <f t="shared" si="8"/>
        <v>(-) INSS RECEITA BRUTA</v>
      </c>
    </row>
    <row r="557" spans="1:9" x14ac:dyDescent="0.25">
      <c r="A557">
        <v>782</v>
      </c>
      <c r="B557" t="s">
        <v>896</v>
      </c>
      <c r="G557" t="s">
        <v>1649</v>
      </c>
      <c r="I557" t="str">
        <f t="shared" si="8"/>
        <v>INSS DESONERAÇÃO S/ FOLHA DE PAGAMENTO</v>
      </c>
    </row>
    <row r="558" spans="1:9" x14ac:dyDescent="0.25">
      <c r="A558">
        <v>430</v>
      </c>
      <c r="B558" t="s">
        <v>370</v>
      </c>
      <c r="E558" t="s">
        <v>371</v>
      </c>
      <c r="I558" t="str">
        <f t="shared" si="8"/>
        <v>RECEITAS FINANCEIRAS</v>
      </c>
    </row>
    <row r="559" spans="1:9" x14ac:dyDescent="0.25">
      <c r="A559">
        <v>431</v>
      </c>
      <c r="B559" t="s">
        <v>372</v>
      </c>
      <c r="F559" t="s">
        <v>373</v>
      </c>
      <c r="I559" t="str">
        <f t="shared" si="8"/>
        <v>JUROS E DESCONTOS</v>
      </c>
    </row>
    <row r="560" spans="1:9" x14ac:dyDescent="0.25">
      <c r="A560">
        <v>432</v>
      </c>
      <c r="B560" t="s">
        <v>897</v>
      </c>
      <c r="G560" t="s">
        <v>1650</v>
      </c>
      <c r="I560" t="str">
        <f t="shared" si="8"/>
        <v>JUROS DE APLICAÇÕES</v>
      </c>
    </row>
    <row r="561" spans="1:9" x14ac:dyDescent="0.25">
      <c r="A561">
        <v>433</v>
      </c>
      <c r="B561" t="s">
        <v>898</v>
      </c>
      <c r="G561" t="s">
        <v>1651</v>
      </c>
      <c r="I561" t="str">
        <f t="shared" si="8"/>
        <v>JUROS</v>
      </c>
    </row>
    <row r="562" spans="1:9" x14ac:dyDescent="0.25">
      <c r="A562">
        <v>434</v>
      </c>
      <c r="B562" t="s">
        <v>375</v>
      </c>
      <c r="G562" t="s">
        <v>376</v>
      </c>
      <c r="I562" t="str">
        <f t="shared" si="8"/>
        <v>DESCONTOS FINANCEIROS OBTIDOS</v>
      </c>
    </row>
    <row r="563" spans="1:9" x14ac:dyDescent="0.25">
      <c r="A563">
        <v>435</v>
      </c>
      <c r="B563" t="s">
        <v>899</v>
      </c>
      <c r="G563" t="s">
        <v>1160</v>
      </c>
      <c r="I563" t="str">
        <f t="shared" si="8"/>
        <v>JUROS SOBRE O CAPITAL PRÓPRIO</v>
      </c>
    </row>
    <row r="564" spans="1:9" x14ac:dyDescent="0.25">
      <c r="A564">
        <v>475</v>
      </c>
      <c r="B564" t="s">
        <v>900</v>
      </c>
      <c r="G564" t="s">
        <v>1652</v>
      </c>
      <c r="I564" t="str">
        <f t="shared" si="8"/>
        <v>MULTA</v>
      </c>
    </row>
    <row r="565" spans="1:9" x14ac:dyDescent="0.25">
      <c r="A565">
        <v>436</v>
      </c>
      <c r="B565" t="s">
        <v>901</v>
      </c>
      <c r="F565" t="s">
        <v>1653</v>
      </c>
      <c r="I565" t="str">
        <f t="shared" si="8"/>
        <v>VARIAÇÕES MONETÁRIAS</v>
      </c>
    </row>
    <row r="566" spans="1:9" x14ac:dyDescent="0.25">
      <c r="A566">
        <v>437</v>
      </c>
      <c r="B566" t="s">
        <v>902</v>
      </c>
      <c r="G566" t="s">
        <v>1654</v>
      </c>
      <c r="I566" t="str">
        <f t="shared" si="8"/>
        <v>VARIAÇÕES MONETÁRIAS ATIVAS</v>
      </c>
    </row>
    <row r="567" spans="1:9" x14ac:dyDescent="0.25">
      <c r="A567">
        <v>438</v>
      </c>
      <c r="B567" t="s">
        <v>903</v>
      </c>
      <c r="G567" t="s">
        <v>1655</v>
      </c>
      <c r="I567" t="str">
        <f t="shared" si="8"/>
        <v>VARIAÇÕES CAMBIAIS ATIVAS</v>
      </c>
    </row>
    <row r="568" spans="1:9" x14ac:dyDescent="0.25">
      <c r="A568">
        <v>439</v>
      </c>
      <c r="B568" t="s">
        <v>904</v>
      </c>
      <c r="E568" t="s">
        <v>1656</v>
      </c>
      <c r="I568" t="str">
        <f t="shared" si="8"/>
        <v>RECUPERAÇÃO DE DESPESAS</v>
      </c>
    </row>
    <row r="569" spans="1:9" x14ac:dyDescent="0.25">
      <c r="A569">
        <v>440</v>
      </c>
      <c r="B569" t="s">
        <v>905</v>
      </c>
      <c r="F569" t="s">
        <v>1657</v>
      </c>
      <c r="I569" t="str">
        <f t="shared" si="8"/>
        <v>RECUP. CRÉDITOS CONSIDERADOS INCOBRÁVEIS</v>
      </c>
    </row>
    <row r="570" spans="1:9" x14ac:dyDescent="0.25">
      <c r="A570">
        <v>441</v>
      </c>
      <c r="B570" t="s">
        <v>906</v>
      </c>
      <c r="F570" t="s">
        <v>1658</v>
      </c>
      <c r="I570" t="str">
        <f t="shared" si="8"/>
        <v>REVERSÃO DE PROVISÕES</v>
      </c>
    </row>
    <row r="571" spans="1:9" x14ac:dyDescent="0.25">
      <c r="A571">
        <v>442</v>
      </c>
      <c r="B571" t="s">
        <v>378</v>
      </c>
      <c r="E571" t="s">
        <v>141</v>
      </c>
      <c r="I571" t="str">
        <f t="shared" si="8"/>
        <v>OUTRAS RECEITAS OPERACIONAIS</v>
      </c>
    </row>
    <row r="572" spans="1:9" x14ac:dyDescent="0.25">
      <c r="A572">
        <v>443</v>
      </c>
      <c r="B572" t="s">
        <v>379</v>
      </c>
      <c r="F572" t="s">
        <v>142</v>
      </c>
      <c r="I572" t="str">
        <f t="shared" si="8"/>
        <v>RECEITAS DIVERSAS</v>
      </c>
    </row>
    <row r="573" spans="1:9" x14ac:dyDescent="0.25">
      <c r="A573">
        <v>444</v>
      </c>
      <c r="B573" t="s">
        <v>907</v>
      </c>
      <c r="G573" t="s">
        <v>1659</v>
      </c>
      <c r="I573" t="str">
        <f t="shared" si="8"/>
        <v>ALUGUÉIS E ARRENDAMENTOS</v>
      </c>
    </row>
    <row r="574" spans="1:9" x14ac:dyDescent="0.25">
      <c r="A574">
        <v>445</v>
      </c>
      <c r="B574" t="s">
        <v>908</v>
      </c>
      <c r="G574" t="s">
        <v>1660</v>
      </c>
      <c r="I574" t="str">
        <f t="shared" si="8"/>
        <v>VENDAS ACESSÓRIAS</v>
      </c>
    </row>
    <row r="575" spans="1:9" x14ac:dyDescent="0.25">
      <c r="A575">
        <v>446</v>
      </c>
      <c r="B575" t="s">
        <v>909</v>
      </c>
      <c r="G575" t="s">
        <v>1661</v>
      </c>
      <c r="I575" t="str">
        <f t="shared" si="8"/>
        <v>RECEITA DE EQUIVALÊNCIA PATRIMONIAL</v>
      </c>
    </row>
    <row r="576" spans="1:9" x14ac:dyDescent="0.25">
      <c r="A576">
        <v>447</v>
      </c>
      <c r="B576" t="s">
        <v>910</v>
      </c>
      <c r="G576" t="s">
        <v>1662</v>
      </c>
      <c r="I576" t="str">
        <f t="shared" si="8"/>
        <v>DIVIDENDOS E LUCROS RECEBIDOS</v>
      </c>
    </row>
    <row r="577" spans="1:9" x14ac:dyDescent="0.25">
      <c r="A577">
        <v>448</v>
      </c>
      <c r="B577" t="s">
        <v>911</v>
      </c>
      <c r="G577" t="s">
        <v>1663</v>
      </c>
      <c r="I577" t="str">
        <f t="shared" si="8"/>
        <v>AMORTIZAÇÃO DE DESÁGIO</v>
      </c>
    </row>
    <row r="578" spans="1:9" x14ac:dyDescent="0.25">
      <c r="A578">
        <v>1001</v>
      </c>
      <c r="B578" t="s">
        <v>380</v>
      </c>
      <c r="G578" t="s">
        <v>381</v>
      </c>
      <c r="I578" t="str">
        <f t="shared" si="8"/>
        <v>DESCONTOS CONCEDIDOS</v>
      </c>
    </row>
    <row r="579" spans="1:9" x14ac:dyDescent="0.25">
      <c r="A579">
        <v>999</v>
      </c>
      <c r="B579" t="s">
        <v>380</v>
      </c>
      <c r="G579" t="s">
        <v>143</v>
      </c>
      <c r="I579" t="str">
        <f t="shared" si="8"/>
        <v>RECEITA COM BONIFICAÇÕES</v>
      </c>
    </row>
    <row r="580" spans="1:9" x14ac:dyDescent="0.25">
      <c r="A580">
        <v>449</v>
      </c>
      <c r="B580" t="s">
        <v>912</v>
      </c>
      <c r="D580" t="s">
        <v>1664</v>
      </c>
      <c r="I580" t="str">
        <f t="shared" si="8"/>
        <v>RECEITAS NÃO OPERACIONAIS</v>
      </c>
    </row>
    <row r="581" spans="1:9" x14ac:dyDescent="0.25">
      <c r="A581">
        <v>450</v>
      </c>
      <c r="B581" t="s">
        <v>913</v>
      </c>
      <c r="E581" t="s">
        <v>1665</v>
      </c>
      <c r="I581" t="str">
        <f t="shared" si="8"/>
        <v>RESULTADOS NÃO OPERACIONAIS</v>
      </c>
    </row>
    <row r="582" spans="1:9" x14ac:dyDescent="0.25">
      <c r="A582">
        <v>451</v>
      </c>
      <c r="B582" t="s">
        <v>914</v>
      </c>
      <c r="F582" t="s">
        <v>1666</v>
      </c>
      <c r="I582" t="str">
        <f t="shared" si="8"/>
        <v>RESULTADOS POSIT. NA ALIEN. DE INVESTIM</v>
      </c>
    </row>
    <row r="583" spans="1:9" x14ac:dyDescent="0.25">
      <c r="A583">
        <v>452</v>
      </c>
      <c r="B583" t="s">
        <v>915</v>
      </c>
      <c r="G583" t="s">
        <v>1667</v>
      </c>
      <c r="I583" t="str">
        <f t="shared" si="8"/>
        <v>LUCROS NA ALIENAÇÃO DE PART. EM COLIGADA</v>
      </c>
    </row>
    <row r="584" spans="1:9" x14ac:dyDescent="0.25">
      <c r="A584">
        <v>453</v>
      </c>
      <c r="B584" t="s">
        <v>916</v>
      </c>
      <c r="F584" t="s">
        <v>1668</v>
      </c>
      <c r="I584" t="str">
        <f t="shared" si="8"/>
        <v>LUCROS NA ALIENAÇÃO DE IMOBILIZADO</v>
      </c>
    </row>
    <row r="585" spans="1:9" x14ac:dyDescent="0.25">
      <c r="A585">
        <v>454</v>
      </c>
      <c r="B585" t="s">
        <v>917</v>
      </c>
      <c r="G585" t="s">
        <v>1669</v>
      </c>
      <c r="I585" t="str">
        <f t="shared" ref="I585:I648" si="9">IF(H585&lt;&gt;"",H585,IF(G585&lt;&gt;"",G585,IF(F585&lt;&gt;"",F585,IF(E585&lt;&gt;"",E585,IF(D585&lt;&gt;"",D585,IF(C585&lt;&gt;"",C585,B585))))))</f>
        <v>LUCROS NA ALIENAÇÃO DE ATIVO PERMANENTE</v>
      </c>
    </row>
    <row r="586" spans="1:9" x14ac:dyDescent="0.25">
      <c r="A586">
        <v>458</v>
      </c>
      <c r="B586" t="s">
        <v>918</v>
      </c>
      <c r="F586" t="s">
        <v>1670</v>
      </c>
      <c r="I586" t="str">
        <f t="shared" si="9"/>
        <v>RESULTADO DE SINISTROS COM IMOBILIZADO</v>
      </c>
    </row>
    <row r="587" spans="1:9" x14ac:dyDescent="0.25">
      <c r="A587">
        <v>459</v>
      </c>
      <c r="B587" t="s">
        <v>919</v>
      </c>
      <c r="G587" t="s">
        <v>1671</v>
      </c>
      <c r="I587" t="str">
        <f t="shared" si="9"/>
        <v>SINISTROS COM IMOBILIZADO</v>
      </c>
    </row>
    <row r="588" spans="1:9" x14ac:dyDescent="0.25">
      <c r="A588">
        <v>269</v>
      </c>
      <c r="B588" t="s">
        <v>384</v>
      </c>
      <c r="C588" t="s">
        <v>144</v>
      </c>
      <c r="I588" t="str">
        <f t="shared" si="9"/>
        <v>CONTAS DE RESULTADOS - CUSTOS E DESPESAS</v>
      </c>
    </row>
    <row r="589" spans="1:9" x14ac:dyDescent="0.25">
      <c r="A589">
        <v>500</v>
      </c>
      <c r="B589" t="s">
        <v>385</v>
      </c>
      <c r="D589" t="s">
        <v>386</v>
      </c>
      <c r="I589" t="str">
        <f t="shared" si="9"/>
        <v>CUSTOS</v>
      </c>
    </row>
    <row r="590" spans="1:9" x14ac:dyDescent="0.25">
      <c r="A590">
        <v>283</v>
      </c>
      <c r="B590" t="s">
        <v>387</v>
      </c>
      <c r="E590" t="s">
        <v>1712</v>
      </c>
      <c r="I590" t="str">
        <f t="shared" si="9"/>
        <v>RESULTADO DAS VENDAS</v>
      </c>
    </row>
    <row r="591" spans="1:9" x14ac:dyDescent="0.25">
      <c r="A591">
        <v>284</v>
      </c>
      <c r="B591" t="s">
        <v>978</v>
      </c>
      <c r="F591" t="s">
        <v>1713</v>
      </c>
      <c r="I591" t="str">
        <f t="shared" si="9"/>
        <v>CUSTO DAS MERCADORIAS VENDIDAS</v>
      </c>
    </row>
    <row r="592" spans="1:9" x14ac:dyDescent="0.25">
      <c r="A592">
        <v>821</v>
      </c>
      <c r="B592" t="s">
        <v>979</v>
      </c>
      <c r="G592" t="s">
        <v>1713</v>
      </c>
      <c r="I592" t="str">
        <f t="shared" si="9"/>
        <v>CUSTO DAS MERCADORIAS VENDIDAS</v>
      </c>
    </row>
    <row r="593" spans="1:9" x14ac:dyDescent="0.25">
      <c r="A593">
        <v>293</v>
      </c>
      <c r="B593" t="s">
        <v>388</v>
      </c>
      <c r="E593" t="s">
        <v>389</v>
      </c>
      <c r="I593" t="str">
        <f t="shared" si="9"/>
        <v>CUSTOS DIRETOS DA PRODUÇÃO DE SERVIÇOS</v>
      </c>
    </row>
    <row r="594" spans="1:9" x14ac:dyDescent="0.25">
      <c r="A594">
        <v>294</v>
      </c>
      <c r="B594" t="s">
        <v>390</v>
      </c>
      <c r="F594" t="s">
        <v>1675</v>
      </c>
      <c r="I594" t="str">
        <f t="shared" si="9"/>
        <v>MÃO-DE-OBRA DIRETA</v>
      </c>
    </row>
    <row r="595" spans="1:9" x14ac:dyDescent="0.25">
      <c r="A595">
        <v>822</v>
      </c>
      <c r="B595" t="s">
        <v>391</v>
      </c>
      <c r="G595" t="s">
        <v>392</v>
      </c>
      <c r="I595" t="str">
        <f t="shared" si="9"/>
        <v>PRÓ-LABORE</v>
      </c>
    </row>
    <row r="596" spans="1:9" x14ac:dyDescent="0.25">
      <c r="A596">
        <v>823</v>
      </c>
      <c r="B596" t="s">
        <v>393</v>
      </c>
      <c r="G596" t="s">
        <v>104</v>
      </c>
      <c r="I596" t="str">
        <f t="shared" si="9"/>
        <v>SALARIOS E ORDENADOS</v>
      </c>
    </row>
    <row r="597" spans="1:9" x14ac:dyDescent="0.25">
      <c r="A597">
        <v>824</v>
      </c>
      <c r="B597" t="s">
        <v>980</v>
      </c>
      <c r="G597" t="s">
        <v>1714</v>
      </c>
      <c r="I597" t="str">
        <f t="shared" si="9"/>
        <v>FERIAS</v>
      </c>
    </row>
    <row r="598" spans="1:9" x14ac:dyDescent="0.25">
      <c r="A598">
        <v>825</v>
      </c>
      <c r="B598" t="s">
        <v>981</v>
      </c>
      <c r="G598" t="s">
        <v>1715</v>
      </c>
      <c r="I598" t="str">
        <f t="shared" si="9"/>
        <v>13º SALARIO</v>
      </c>
    </row>
    <row r="599" spans="1:9" x14ac:dyDescent="0.25">
      <c r="A599">
        <v>826</v>
      </c>
      <c r="B599" t="s">
        <v>982</v>
      </c>
      <c r="G599" t="s">
        <v>404</v>
      </c>
      <c r="I599" t="str">
        <f t="shared" si="9"/>
        <v>AVISO PRÉVIO</v>
      </c>
    </row>
    <row r="600" spans="1:9" x14ac:dyDescent="0.25">
      <c r="A600">
        <v>827</v>
      </c>
      <c r="B600" t="s">
        <v>394</v>
      </c>
      <c r="G600" t="s">
        <v>401</v>
      </c>
      <c r="I600" t="str">
        <f t="shared" si="9"/>
        <v>INSS</v>
      </c>
    </row>
    <row r="601" spans="1:9" x14ac:dyDescent="0.25">
      <c r="A601">
        <v>828</v>
      </c>
      <c r="B601" t="s">
        <v>395</v>
      </c>
      <c r="G601" t="s">
        <v>29</v>
      </c>
      <c r="I601" t="str">
        <f t="shared" si="9"/>
        <v>FGTS</v>
      </c>
    </row>
    <row r="602" spans="1:9" x14ac:dyDescent="0.25">
      <c r="A602">
        <v>829</v>
      </c>
      <c r="B602" t="s">
        <v>983</v>
      </c>
      <c r="G602" t="s">
        <v>1678</v>
      </c>
      <c r="I602" t="str">
        <f t="shared" si="9"/>
        <v>INDENIZAÇÕES E AVISO PRÉVIO</v>
      </c>
    </row>
    <row r="603" spans="1:9" x14ac:dyDescent="0.25">
      <c r="A603">
        <v>830</v>
      </c>
      <c r="B603" t="s">
        <v>984</v>
      </c>
      <c r="G603" t="s">
        <v>1679</v>
      </c>
      <c r="I603" t="str">
        <f t="shared" si="9"/>
        <v>MULTA RESCISÓRIA FGTS</v>
      </c>
    </row>
    <row r="604" spans="1:9" x14ac:dyDescent="0.25">
      <c r="A604">
        <v>831</v>
      </c>
      <c r="B604" t="s">
        <v>985</v>
      </c>
      <c r="G604" t="s">
        <v>1716</v>
      </c>
      <c r="I604" t="str">
        <f t="shared" si="9"/>
        <v>ABONO PECUNIÁRIO</v>
      </c>
    </row>
    <row r="605" spans="1:9" x14ac:dyDescent="0.25">
      <c r="A605">
        <v>832</v>
      </c>
      <c r="B605" t="s">
        <v>986</v>
      </c>
      <c r="G605" t="s">
        <v>1717</v>
      </c>
      <c r="I605" t="str">
        <f t="shared" si="9"/>
        <v>PARTICIPAÇÕES NOS LUCROS E RESULTADOS</v>
      </c>
    </row>
    <row r="606" spans="1:9" x14ac:dyDescent="0.25">
      <c r="A606">
        <v>833</v>
      </c>
      <c r="B606" t="s">
        <v>987</v>
      </c>
      <c r="G606" t="s">
        <v>1682</v>
      </c>
      <c r="I606" t="str">
        <f t="shared" si="9"/>
        <v>ABONO ESPECIAL</v>
      </c>
    </row>
    <row r="607" spans="1:9" x14ac:dyDescent="0.25">
      <c r="A607">
        <v>834</v>
      </c>
      <c r="B607" t="s">
        <v>988</v>
      </c>
      <c r="G607" t="s">
        <v>402</v>
      </c>
      <c r="I607" t="str">
        <f t="shared" si="9"/>
        <v>PROGRAMA DE VALE TRANSPORTE</v>
      </c>
    </row>
    <row r="608" spans="1:9" x14ac:dyDescent="0.25">
      <c r="A608">
        <v>835</v>
      </c>
      <c r="B608" t="s">
        <v>989</v>
      </c>
      <c r="G608" t="s">
        <v>1683</v>
      </c>
      <c r="I608" t="str">
        <f t="shared" si="9"/>
        <v>ASSISTENCIA MEDICA</v>
      </c>
    </row>
    <row r="609" spans="1:9" x14ac:dyDescent="0.25">
      <c r="A609">
        <v>836</v>
      </c>
      <c r="B609" t="s">
        <v>990</v>
      </c>
      <c r="G609" t="s">
        <v>403</v>
      </c>
      <c r="I609" t="str">
        <f t="shared" si="9"/>
        <v>PROGRAMA DE ALIMENTAÇÃO DO TRABALHADOR</v>
      </c>
    </row>
    <row r="610" spans="1:9" x14ac:dyDescent="0.25">
      <c r="A610">
        <v>837</v>
      </c>
      <c r="B610" t="s">
        <v>991</v>
      </c>
      <c r="G610" t="s">
        <v>1684</v>
      </c>
      <c r="I610" t="str">
        <f t="shared" si="9"/>
        <v>MEDICAMENTOS</v>
      </c>
    </row>
    <row r="611" spans="1:9" x14ac:dyDescent="0.25">
      <c r="A611">
        <v>838</v>
      </c>
      <c r="B611" t="s">
        <v>992</v>
      </c>
      <c r="G611" t="s">
        <v>1685</v>
      </c>
      <c r="I611" t="str">
        <f t="shared" si="9"/>
        <v>DESPESAS COM ALIMENTAÇÃO</v>
      </c>
    </row>
    <row r="612" spans="1:9" x14ac:dyDescent="0.25">
      <c r="A612">
        <v>839</v>
      </c>
      <c r="B612" t="s">
        <v>993</v>
      </c>
      <c r="G612" t="s">
        <v>1686</v>
      </c>
      <c r="I612" t="str">
        <f t="shared" si="9"/>
        <v>AUXILIO CRECHE</v>
      </c>
    </row>
    <row r="613" spans="1:9" x14ac:dyDescent="0.25">
      <c r="A613">
        <v>965</v>
      </c>
      <c r="B613" t="s">
        <v>1001</v>
      </c>
      <c r="G613" t="s">
        <v>1694</v>
      </c>
      <c r="I613" t="str">
        <f t="shared" si="9"/>
        <v>13º SALARIO INDENIZADO</v>
      </c>
    </row>
    <row r="614" spans="1:9" x14ac:dyDescent="0.25">
      <c r="A614">
        <v>846</v>
      </c>
      <c r="B614" t="s">
        <v>396</v>
      </c>
      <c r="F614" t="s">
        <v>1695</v>
      </c>
      <c r="I614" t="str">
        <f t="shared" si="9"/>
        <v>CUSTOS GERAIS</v>
      </c>
    </row>
    <row r="615" spans="1:9" x14ac:dyDescent="0.25">
      <c r="A615">
        <v>847</v>
      </c>
      <c r="B615" t="s">
        <v>1002</v>
      </c>
      <c r="G615" t="s">
        <v>1696</v>
      </c>
      <c r="I615" t="str">
        <f t="shared" si="9"/>
        <v>ENERGIA ELETRICA</v>
      </c>
    </row>
    <row r="616" spans="1:9" x14ac:dyDescent="0.25">
      <c r="A616">
        <v>848</v>
      </c>
      <c r="B616" t="s">
        <v>1003</v>
      </c>
      <c r="G616" t="s">
        <v>1697</v>
      </c>
      <c r="I616" t="str">
        <f t="shared" si="9"/>
        <v>AGUA</v>
      </c>
    </row>
    <row r="617" spans="1:9" x14ac:dyDescent="0.25">
      <c r="A617">
        <v>849</v>
      </c>
      <c r="B617" t="s">
        <v>1004</v>
      </c>
      <c r="G617" t="s">
        <v>1698</v>
      </c>
      <c r="I617" t="str">
        <f t="shared" si="9"/>
        <v>MANUTENÇÃO DO IMOBILIZADO</v>
      </c>
    </row>
    <row r="618" spans="1:9" x14ac:dyDescent="0.25">
      <c r="A618">
        <v>850</v>
      </c>
      <c r="B618" t="s">
        <v>1005</v>
      </c>
      <c r="G618" t="s">
        <v>38</v>
      </c>
      <c r="I618" t="str">
        <f t="shared" si="9"/>
        <v>ALUGUEL</v>
      </c>
    </row>
    <row r="619" spans="1:9" x14ac:dyDescent="0.25">
      <c r="A619">
        <v>851</v>
      </c>
      <c r="B619" t="s">
        <v>1006</v>
      </c>
      <c r="G619" t="s">
        <v>1721</v>
      </c>
      <c r="I619" t="str">
        <f t="shared" si="9"/>
        <v>FERRAMENTA DE DESGASTE</v>
      </c>
    </row>
    <row r="620" spans="1:9" x14ac:dyDescent="0.25">
      <c r="A620">
        <v>852</v>
      </c>
      <c r="B620" t="s">
        <v>1007</v>
      </c>
      <c r="G620" t="s">
        <v>158</v>
      </c>
      <c r="I620" t="str">
        <f t="shared" si="9"/>
        <v>MATERIAL DE CONSUMO</v>
      </c>
    </row>
    <row r="621" spans="1:9" x14ac:dyDescent="0.25">
      <c r="A621">
        <v>853</v>
      </c>
      <c r="B621" t="s">
        <v>1008</v>
      </c>
      <c r="G621" t="s">
        <v>1700</v>
      </c>
      <c r="I621" t="str">
        <f t="shared" si="9"/>
        <v>EQUIPAMENTOS E MATERIAIS DE SEGURANÇA</v>
      </c>
    </row>
    <row r="622" spans="1:9" x14ac:dyDescent="0.25">
      <c r="A622">
        <v>854</v>
      </c>
      <c r="B622" t="s">
        <v>1009</v>
      </c>
      <c r="G622" t="s">
        <v>153</v>
      </c>
      <c r="I622" t="str">
        <f t="shared" si="9"/>
        <v>COMBUSTIVEIS E LUBRIFICANTES</v>
      </c>
    </row>
    <row r="623" spans="1:9" x14ac:dyDescent="0.25">
      <c r="A623">
        <v>855</v>
      </c>
      <c r="B623" t="s">
        <v>1010</v>
      </c>
      <c r="G623" t="s">
        <v>1701</v>
      </c>
      <c r="I623" t="str">
        <f t="shared" si="9"/>
        <v>FRETES E CARRETOS</v>
      </c>
    </row>
    <row r="624" spans="1:9" x14ac:dyDescent="0.25">
      <c r="A624">
        <v>856</v>
      </c>
      <c r="B624" t="s">
        <v>397</v>
      </c>
      <c r="G624" t="s">
        <v>398</v>
      </c>
      <c r="I624" t="str">
        <f t="shared" si="9"/>
        <v>SERVIÇOS PRESTADOS - PJ</v>
      </c>
    </row>
    <row r="625" spans="1:9" x14ac:dyDescent="0.25">
      <c r="A625">
        <v>857</v>
      </c>
      <c r="B625" t="s">
        <v>399</v>
      </c>
      <c r="G625" t="s">
        <v>400</v>
      </c>
      <c r="I625" t="str">
        <f t="shared" si="9"/>
        <v>DESPESAS COM VEICULOS</v>
      </c>
    </row>
    <row r="626" spans="1:9" x14ac:dyDescent="0.25">
      <c r="A626">
        <v>858</v>
      </c>
      <c r="B626" t="s">
        <v>1011</v>
      </c>
      <c r="G626" t="s">
        <v>448</v>
      </c>
      <c r="I626" t="str">
        <f t="shared" si="9"/>
        <v>CONSERVAÇÃO E REPAROS</v>
      </c>
    </row>
    <row r="627" spans="1:9" x14ac:dyDescent="0.25">
      <c r="A627">
        <v>859</v>
      </c>
      <c r="B627" t="s">
        <v>1012</v>
      </c>
      <c r="G627" t="s">
        <v>1702</v>
      </c>
      <c r="I627" t="str">
        <f t="shared" si="9"/>
        <v>DESPESAS COM CARTÃO DE CREDITO</v>
      </c>
    </row>
    <row r="628" spans="1:9" x14ac:dyDescent="0.25">
      <c r="A628">
        <v>860</v>
      </c>
      <c r="B628" t="s">
        <v>1013</v>
      </c>
      <c r="G628" t="s">
        <v>1703</v>
      </c>
      <c r="I628" t="str">
        <f t="shared" si="9"/>
        <v>SERVIÇOS PRESTADOS - PF</v>
      </c>
    </row>
    <row r="629" spans="1:9" x14ac:dyDescent="0.25">
      <c r="A629">
        <v>861</v>
      </c>
      <c r="B629" t="s">
        <v>1014</v>
      </c>
      <c r="G629" t="s">
        <v>454</v>
      </c>
      <c r="I629" t="str">
        <f t="shared" si="9"/>
        <v>LANCHES E REFEIÇÕES</v>
      </c>
    </row>
    <row r="630" spans="1:9" x14ac:dyDescent="0.25">
      <c r="A630">
        <v>862</v>
      </c>
      <c r="B630" t="s">
        <v>1015</v>
      </c>
      <c r="G630" t="s">
        <v>152</v>
      </c>
      <c r="I630" t="str">
        <f t="shared" si="9"/>
        <v>DESPESAS COM COPA</v>
      </c>
    </row>
    <row r="631" spans="1:9" x14ac:dyDescent="0.25">
      <c r="A631">
        <v>863</v>
      </c>
      <c r="B631" t="s">
        <v>1016</v>
      </c>
      <c r="G631" t="s">
        <v>1704</v>
      </c>
      <c r="I631" t="str">
        <f t="shared" si="9"/>
        <v>MATERIAL DE LIMPEZA</v>
      </c>
    </row>
    <row r="632" spans="1:9" x14ac:dyDescent="0.25">
      <c r="A632">
        <v>864</v>
      </c>
      <c r="B632" t="s">
        <v>1017</v>
      </c>
      <c r="G632" t="s">
        <v>1705</v>
      </c>
      <c r="I632" t="str">
        <f t="shared" si="9"/>
        <v>LOCAÇÃO DE EQUIPAMENTOS</v>
      </c>
    </row>
    <row r="633" spans="1:9" x14ac:dyDescent="0.25">
      <c r="A633">
        <v>865</v>
      </c>
      <c r="B633" t="s">
        <v>1018</v>
      </c>
      <c r="G633" t="s">
        <v>254</v>
      </c>
      <c r="I633" t="str">
        <f t="shared" si="9"/>
        <v>EQUIPAMENTOS DE SEGURANÇA</v>
      </c>
    </row>
    <row r="634" spans="1:9" x14ac:dyDescent="0.25">
      <c r="A634">
        <v>866</v>
      </c>
      <c r="B634" t="s">
        <v>1019</v>
      </c>
      <c r="G634" t="s">
        <v>1706</v>
      </c>
      <c r="I634" t="str">
        <f t="shared" si="9"/>
        <v>UNIFORMES</v>
      </c>
    </row>
    <row r="635" spans="1:9" x14ac:dyDescent="0.25">
      <c r="A635">
        <v>867</v>
      </c>
      <c r="B635" t="s">
        <v>1020</v>
      </c>
      <c r="G635" t="s">
        <v>1707</v>
      </c>
      <c r="I635" t="str">
        <f t="shared" si="9"/>
        <v>GÁS</v>
      </c>
    </row>
    <row r="636" spans="1:9" x14ac:dyDescent="0.25">
      <c r="A636">
        <v>295</v>
      </c>
      <c r="B636" t="s">
        <v>406</v>
      </c>
      <c r="D636" t="s">
        <v>145</v>
      </c>
      <c r="I636" t="str">
        <f t="shared" si="9"/>
        <v>DESPESAS OPERACIONAIS</v>
      </c>
    </row>
    <row r="637" spans="1:9" x14ac:dyDescent="0.25">
      <c r="A637">
        <v>296</v>
      </c>
      <c r="B637" t="s">
        <v>407</v>
      </c>
      <c r="E637" t="s">
        <v>146</v>
      </c>
      <c r="I637" t="str">
        <f t="shared" si="9"/>
        <v>DESPESAS OPERACIONAIS DAS ATIVIDADES EM GERAL</v>
      </c>
    </row>
    <row r="638" spans="1:9" x14ac:dyDescent="0.25">
      <c r="A638">
        <v>297</v>
      </c>
      <c r="B638" t="s">
        <v>1030</v>
      </c>
      <c r="F638" t="s">
        <v>147</v>
      </c>
      <c r="I638" t="str">
        <f t="shared" si="9"/>
        <v>DESPESAS COM PESSOAL</v>
      </c>
    </row>
    <row r="639" spans="1:9" x14ac:dyDescent="0.25">
      <c r="A639">
        <v>298</v>
      </c>
      <c r="B639" t="s">
        <v>1031</v>
      </c>
      <c r="G639" t="s">
        <v>392</v>
      </c>
      <c r="I639" t="str">
        <f t="shared" si="9"/>
        <v>PRÓ-LABORE</v>
      </c>
    </row>
    <row r="640" spans="1:9" x14ac:dyDescent="0.25">
      <c r="A640">
        <v>299</v>
      </c>
      <c r="B640" t="s">
        <v>1032</v>
      </c>
      <c r="G640" t="s">
        <v>104</v>
      </c>
      <c r="I640" t="str">
        <f t="shared" si="9"/>
        <v>SALARIOS E ORDENADOS</v>
      </c>
    </row>
    <row r="641" spans="1:9" x14ac:dyDescent="0.25">
      <c r="A641">
        <v>300</v>
      </c>
      <c r="B641" t="s">
        <v>1033</v>
      </c>
      <c r="G641" t="s">
        <v>1676</v>
      </c>
      <c r="I641" t="str">
        <f t="shared" si="9"/>
        <v>FÉRIAS</v>
      </c>
    </row>
    <row r="642" spans="1:9" x14ac:dyDescent="0.25">
      <c r="A642">
        <v>301</v>
      </c>
      <c r="B642" t="s">
        <v>1034</v>
      </c>
      <c r="G642" t="s">
        <v>1677</v>
      </c>
      <c r="I642" t="str">
        <f t="shared" si="9"/>
        <v>13º SALÁRIO</v>
      </c>
    </row>
    <row r="643" spans="1:9" x14ac:dyDescent="0.25">
      <c r="A643">
        <v>302</v>
      </c>
      <c r="B643" t="s">
        <v>1035</v>
      </c>
      <c r="G643" t="s">
        <v>404</v>
      </c>
      <c r="I643" t="str">
        <f t="shared" si="9"/>
        <v>AVISO PRÉVIO</v>
      </c>
    </row>
    <row r="644" spans="1:9" x14ac:dyDescent="0.25">
      <c r="A644">
        <v>303</v>
      </c>
      <c r="B644" t="s">
        <v>1036</v>
      </c>
      <c r="G644" t="s">
        <v>401</v>
      </c>
      <c r="I644" t="str">
        <f t="shared" si="9"/>
        <v>INSS</v>
      </c>
    </row>
    <row r="645" spans="1:9" x14ac:dyDescent="0.25">
      <c r="A645">
        <v>304</v>
      </c>
      <c r="B645" t="s">
        <v>1037</v>
      </c>
      <c r="G645" t="s">
        <v>29</v>
      </c>
      <c r="I645" t="str">
        <f t="shared" si="9"/>
        <v>FGTS</v>
      </c>
    </row>
    <row r="646" spans="1:9" x14ac:dyDescent="0.25">
      <c r="A646">
        <v>305</v>
      </c>
      <c r="B646" t="s">
        <v>1038</v>
      </c>
      <c r="G646" t="s">
        <v>1678</v>
      </c>
      <c r="I646" t="str">
        <f t="shared" si="9"/>
        <v>INDENIZAÇÕES E AVISO PRÉVIO</v>
      </c>
    </row>
    <row r="647" spans="1:9" x14ac:dyDescent="0.25">
      <c r="A647">
        <v>306</v>
      </c>
      <c r="B647" t="s">
        <v>1039</v>
      </c>
      <c r="G647" t="s">
        <v>1679</v>
      </c>
      <c r="I647" t="str">
        <f t="shared" si="9"/>
        <v>MULTA RESCISÓRIA FGTS</v>
      </c>
    </row>
    <row r="648" spans="1:9" x14ac:dyDescent="0.25">
      <c r="A648">
        <v>498</v>
      </c>
      <c r="B648" t="s">
        <v>1040</v>
      </c>
      <c r="G648" t="s">
        <v>1716</v>
      </c>
      <c r="I648" t="str">
        <f t="shared" si="9"/>
        <v>ABONO PECUNIÁRIO</v>
      </c>
    </row>
    <row r="649" spans="1:9" x14ac:dyDescent="0.25">
      <c r="A649">
        <v>511</v>
      </c>
      <c r="B649" t="s">
        <v>1041</v>
      </c>
      <c r="G649" t="s">
        <v>1681</v>
      </c>
      <c r="I649" t="str">
        <f t="shared" ref="I649:I712" si="10">IF(H649&lt;&gt;"",H649,IF(G649&lt;&gt;"",G649,IF(F649&lt;&gt;"",F649,IF(E649&lt;&gt;"",E649,IF(D649&lt;&gt;"",D649,IF(C649&lt;&gt;"",C649,B649))))))</f>
        <v>PARTICIPAÇÃO NOS LUCROS E RESULTADOS</v>
      </c>
    </row>
    <row r="650" spans="1:9" x14ac:dyDescent="0.25">
      <c r="A650">
        <v>512</v>
      </c>
      <c r="B650" t="s">
        <v>1042</v>
      </c>
      <c r="G650" t="s">
        <v>1682</v>
      </c>
      <c r="I650" t="str">
        <f t="shared" si="10"/>
        <v>ABONO ESPECIAL</v>
      </c>
    </row>
    <row r="651" spans="1:9" x14ac:dyDescent="0.25">
      <c r="A651">
        <v>868</v>
      </c>
      <c r="B651" t="s">
        <v>1043</v>
      </c>
      <c r="G651" t="s">
        <v>402</v>
      </c>
      <c r="I651" t="str">
        <f t="shared" si="10"/>
        <v>PROGRAMA DE VALE TRANSPORTE</v>
      </c>
    </row>
    <row r="652" spans="1:9" x14ac:dyDescent="0.25">
      <c r="A652">
        <v>869</v>
      </c>
      <c r="B652" t="s">
        <v>1044</v>
      </c>
      <c r="G652" t="s">
        <v>1683</v>
      </c>
      <c r="I652" t="str">
        <f t="shared" si="10"/>
        <v>ASSISTENCIA MEDICA</v>
      </c>
    </row>
    <row r="653" spans="1:9" x14ac:dyDescent="0.25">
      <c r="A653">
        <v>870</v>
      </c>
      <c r="B653" t="s">
        <v>1045</v>
      </c>
      <c r="G653" t="s">
        <v>403</v>
      </c>
      <c r="I653" t="str">
        <f t="shared" si="10"/>
        <v>PROGRAMA DE ALIMENTAÇÃO DO TRABALHADOR</v>
      </c>
    </row>
    <row r="654" spans="1:9" x14ac:dyDescent="0.25">
      <c r="A654">
        <v>871</v>
      </c>
      <c r="B654" t="s">
        <v>1046</v>
      </c>
      <c r="G654" t="s">
        <v>1684</v>
      </c>
      <c r="I654" t="str">
        <f t="shared" si="10"/>
        <v>MEDICAMENTOS</v>
      </c>
    </row>
    <row r="655" spans="1:9" x14ac:dyDescent="0.25">
      <c r="A655">
        <v>872</v>
      </c>
      <c r="B655" t="s">
        <v>1047</v>
      </c>
      <c r="G655" t="s">
        <v>1685</v>
      </c>
      <c r="I655" t="str">
        <f t="shared" si="10"/>
        <v>DESPESAS COM ALIMENTAÇÃO</v>
      </c>
    </row>
    <row r="656" spans="1:9" x14ac:dyDescent="0.25">
      <c r="A656">
        <v>873</v>
      </c>
      <c r="B656" t="s">
        <v>1048</v>
      </c>
      <c r="G656" t="s">
        <v>1686</v>
      </c>
      <c r="I656" t="str">
        <f t="shared" si="10"/>
        <v>AUXILIO CRECHE</v>
      </c>
    </row>
    <row r="657" spans="1:9" x14ac:dyDescent="0.25">
      <c r="A657">
        <v>874</v>
      </c>
      <c r="B657" t="s">
        <v>1049</v>
      </c>
      <c r="G657" t="s">
        <v>1687</v>
      </c>
      <c r="I657" t="str">
        <f t="shared" si="10"/>
        <v>PROVISÃO DE FÉRIAS</v>
      </c>
    </row>
    <row r="658" spans="1:9" x14ac:dyDescent="0.25">
      <c r="A658">
        <v>875</v>
      </c>
      <c r="B658" t="s">
        <v>1050</v>
      </c>
      <c r="G658" t="s">
        <v>1688</v>
      </c>
      <c r="I658" t="str">
        <f t="shared" si="10"/>
        <v>PROVISÃO DE INSS S/ FÉRIAS</v>
      </c>
    </row>
    <row r="659" spans="1:9" x14ac:dyDescent="0.25">
      <c r="A659">
        <v>876</v>
      </c>
      <c r="B659" t="s">
        <v>1051</v>
      </c>
      <c r="G659" t="s">
        <v>1689</v>
      </c>
      <c r="I659" t="str">
        <f t="shared" si="10"/>
        <v>PROVISÃO DE FGTS S/ FÉRIAS</v>
      </c>
    </row>
    <row r="660" spans="1:9" x14ac:dyDescent="0.25">
      <c r="A660">
        <v>877</v>
      </c>
      <c r="B660" t="s">
        <v>1052</v>
      </c>
      <c r="G660" t="s">
        <v>1718</v>
      </c>
      <c r="I660" t="str">
        <f t="shared" si="10"/>
        <v>PROVISÃO DE 13º SALARIO</v>
      </c>
    </row>
    <row r="661" spans="1:9" x14ac:dyDescent="0.25">
      <c r="A661">
        <v>878</v>
      </c>
      <c r="B661" t="s">
        <v>1053</v>
      </c>
      <c r="G661" t="s">
        <v>1719</v>
      </c>
      <c r="I661" t="str">
        <f t="shared" si="10"/>
        <v>PROVISÃO DE INSS S/ 13º SALARIO</v>
      </c>
    </row>
    <row r="662" spans="1:9" x14ac:dyDescent="0.25">
      <c r="A662">
        <v>879</v>
      </c>
      <c r="B662" t="s">
        <v>1054</v>
      </c>
      <c r="G662" t="s">
        <v>1720</v>
      </c>
      <c r="I662" t="str">
        <f t="shared" si="10"/>
        <v>PROVISÃO DE FGTS S/ 13º SALARIO</v>
      </c>
    </row>
    <row r="663" spans="1:9" x14ac:dyDescent="0.25">
      <c r="A663">
        <v>880</v>
      </c>
      <c r="B663" t="s">
        <v>1055</v>
      </c>
      <c r="G663" t="s">
        <v>1693</v>
      </c>
      <c r="I663" t="str">
        <f t="shared" si="10"/>
        <v>ASSISTENCIA ODONTOLOGICA</v>
      </c>
    </row>
    <row r="664" spans="1:9" x14ac:dyDescent="0.25">
      <c r="A664">
        <v>966</v>
      </c>
      <c r="B664" t="s">
        <v>1056</v>
      </c>
      <c r="G664" t="s">
        <v>1694</v>
      </c>
      <c r="I664" t="str">
        <f t="shared" si="10"/>
        <v>13º SALARIO INDENIZADO</v>
      </c>
    </row>
    <row r="665" spans="1:9" x14ac:dyDescent="0.25">
      <c r="A665">
        <v>307</v>
      </c>
      <c r="B665" t="s">
        <v>408</v>
      </c>
      <c r="F665" t="s">
        <v>148</v>
      </c>
      <c r="I665" t="str">
        <f t="shared" si="10"/>
        <v>DESPESAS ADMINISTRATIVAS</v>
      </c>
    </row>
    <row r="666" spans="1:9" x14ac:dyDescent="0.25">
      <c r="A666">
        <v>308</v>
      </c>
      <c r="B666" t="s">
        <v>1057</v>
      </c>
      <c r="G666" t="s">
        <v>1511</v>
      </c>
      <c r="I666" t="str">
        <f t="shared" si="10"/>
        <v>ARRENDAMENTO MERCANTIL</v>
      </c>
    </row>
    <row r="667" spans="1:9" x14ac:dyDescent="0.25">
      <c r="A667">
        <v>881</v>
      </c>
      <c r="B667" t="s">
        <v>1058</v>
      </c>
      <c r="G667" t="s">
        <v>1724</v>
      </c>
      <c r="I667" t="str">
        <f t="shared" si="10"/>
        <v>ALUGUÉIS</v>
      </c>
    </row>
    <row r="668" spans="1:9" x14ac:dyDescent="0.25">
      <c r="A668">
        <v>882</v>
      </c>
      <c r="B668" t="s">
        <v>1059</v>
      </c>
      <c r="G668" t="s">
        <v>76</v>
      </c>
      <c r="I668" t="str">
        <f t="shared" si="10"/>
        <v>VEICULOS</v>
      </c>
    </row>
    <row r="669" spans="1:9" x14ac:dyDescent="0.25">
      <c r="A669">
        <v>883</v>
      </c>
      <c r="B669" t="s">
        <v>1060</v>
      </c>
      <c r="G669" t="s">
        <v>1725</v>
      </c>
      <c r="I669" t="str">
        <f t="shared" si="10"/>
        <v>MANUTENÇÃO E CONSERVAÇÃO</v>
      </c>
    </row>
    <row r="670" spans="1:9" x14ac:dyDescent="0.25">
      <c r="A670">
        <v>884</v>
      </c>
      <c r="B670" t="s">
        <v>1061</v>
      </c>
      <c r="G670" t="s">
        <v>1726</v>
      </c>
      <c r="I670" t="str">
        <f t="shared" si="10"/>
        <v>PROPAGANDA, PUBLICIDADE E PATROCINIO</v>
      </c>
    </row>
    <row r="671" spans="1:9" x14ac:dyDescent="0.25">
      <c r="A671">
        <v>885</v>
      </c>
      <c r="B671" t="s">
        <v>409</v>
      </c>
      <c r="G671" t="s">
        <v>410</v>
      </c>
      <c r="I671" t="str">
        <f t="shared" si="10"/>
        <v>MULTAS</v>
      </c>
    </row>
    <row r="672" spans="1:9" x14ac:dyDescent="0.25">
      <c r="A672">
        <v>886</v>
      </c>
      <c r="B672" t="s">
        <v>1062</v>
      </c>
      <c r="G672" t="s">
        <v>1697</v>
      </c>
      <c r="I672" t="str">
        <f t="shared" si="10"/>
        <v>AGUA</v>
      </c>
    </row>
    <row r="673" spans="1:9" x14ac:dyDescent="0.25">
      <c r="A673">
        <v>887</v>
      </c>
      <c r="B673" t="s">
        <v>1063</v>
      </c>
      <c r="G673" t="s">
        <v>405</v>
      </c>
      <c r="I673" t="str">
        <f t="shared" si="10"/>
        <v>ENERGIA ELÉTRICA</v>
      </c>
    </row>
    <row r="674" spans="1:9" x14ac:dyDescent="0.25">
      <c r="A674">
        <v>888</v>
      </c>
      <c r="B674" t="s">
        <v>411</v>
      </c>
      <c r="G674" t="s">
        <v>412</v>
      </c>
      <c r="I674" t="str">
        <f t="shared" si="10"/>
        <v>DESPESAS COM REFEIÇÕES</v>
      </c>
    </row>
    <row r="675" spans="1:9" x14ac:dyDescent="0.25">
      <c r="A675">
        <v>889</v>
      </c>
      <c r="B675" t="s">
        <v>1064</v>
      </c>
      <c r="G675" t="s">
        <v>1727</v>
      </c>
      <c r="I675" t="str">
        <f t="shared" si="10"/>
        <v>CORREIOS</v>
      </c>
    </row>
    <row r="676" spans="1:9" x14ac:dyDescent="0.25">
      <c r="A676">
        <v>890</v>
      </c>
      <c r="B676" t="s">
        <v>1065</v>
      </c>
      <c r="G676" t="s">
        <v>1728</v>
      </c>
      <c r="I676" t="str">
        <f t="shared" si="10"/>
        <v>SEGUROS</v>
      </c>
    </row>
    <row r="677" spans="1:9" x14ac:dyDescent="0.25">
      <c r="A677">
        <v>891</v>
      </c>
      <c r="B677" t="s">
        <v>1066</v>
      </c>
      <c r="G677" t="s">
        <v>1729</v>
      </c>
      <c r="I677" t="str">
        <f t="shared" si="10"/>
        <v>BENS DE NATUREZA PERMANENTE DEDUZIDOS COMO DESPESA</v>
      </c>
    </row>
    <row r="678" spans="1:9" x14ac:dyDescent="0.25">
      <c r="A678">
        <v>892</v>
      </c>
      <c r="B678" t="s">
        <v>413</v>
      </c>
      <c r="G678" t="s">
        <v>414</v>
      </c>
      <c r="I678" t="str">
        <f t="shared" si="10"/>
        <v>DESPESAS COM VIAGENS E ESTADIAS</v>
      </c>
    </row>
    <row r="679" spans="1:9" x14ac:dyDescent="0.25">
      <c r="A679">
        <v>893</v>
      </c>
      <c r="B679" t="s">
        <v>1067</v>
      </c>
      <c r="G679" t="s">
        <v>1730</v>
      </c>
      <c r="I679" t="str">
        <f t="shared" si="10"/>
        <v>CRÉDITOS DE PIS NÃO CUMULATIVOS</v>
      </c>
    </row>
    <row r="680" spans="1:9" x14ac:dyDescent="0.25">
      <c r="A680">
        <v>894</v>
      </c>
      <c r="B680" t="s">
        <v>1068</v>
      </c>
      <c r="G680" t="s">
        <v>1731</v>
      </c>
      <c r="I680" t="str">
        <f t="shared" si="10"/>
        <v>CRÉDITOS DE COFINS NÃO CUMULATIVOS</v>
      </c>
    </row>
    <row r="681" spans="1:9" x14ac:dyDescent="0.25">
      <c r="A681">
        <v>895</v>
      </c>
      <c r="B681" t="s">
        <v>415</v>
      </c>
      <c r="G681" t="s">
        <v>416</v>
      </c>
      <c r="I681" t="str">
        <f t="shared" si="10"/>
        <v>DESPESAS COM INFORMATICA</v>
      </c>
    </row>
    <row r="682" spans="1:9" x14ac:dyDescent="0.25">
      <c r="A682">
        <v>896</v>
      </c>
      <c r="B682" t="s">
        <v>1069</v>
      </c>
      <c r="G682" t="s">
        <v>149</v>
      </c>
      <c r="I682" t="str">
        <f t="shared" si="10"/>
        <v>DESPESAS COM CARTÓRIO</v>
      </c>
    </row>
    <row r="683" spans="1:9" x14ac:dyDescent="0.25">
      <c r="A683">
        <v>897</v>
      </c>
      <c r="B683" t="s">
        <v>1070</v>
      </c>
      <c r="G683" t="s">
        <v>1732</v>
      </c>
      <c r="I683" t="str">
        <f t="shared" si="10"/>
        <v>DESPESAS COM ESTACIONAMENTO</v>
      </c>
    </row>
    <row r="684" spans="1:9" x14ac:dyDescent="0.25">
      <c r="A684">
        <v>898</v>
      </c>
      <c r="B684" t="s">
        <v>1071</v>
      </c>
      <c r="G684" t="s">
        <v>1733</v>
      </c>
      <c r="I684" t="str">
        <f t="shared" si="10"/>
        <v>IMPRESSOS</v>
      </c>
    </row>
    <row r="685" spans="1:9" x14ac:dyDescent="0.25">
      <c r="A685">
        <v>899</v>
      </c>
      <c r="B685" t="s">
        <v>1072</v>
      </c>
      <c r="G685" t="s">
        <v>150</v>
      </c>
      <c r="I685" t="str">
        <f t="shared" si="10"/>
        <v>SERVIÇOS PRESTADOS PESSOA JURIDICA</v>
      </c>
    </row>
    <row r="686" spans="1:9" x14ac:dyDescent="0.25">
      <c r="A686">
        <v>900</v>
      </c>
      <c r="B686" t="s">
        <v>1073</v>
      </c>
      <c r="G686" t="s">
        <v>1734</v>
      </c>
      <c r="I686" t="str">
        <f t="shared" si="10"/>
        <v>SERVIÇOS PRESTADOS PESSOA FISICA</v>
      </c>
    </row>
    <row r="687" spans="1:9" x14ac:dyDescent="0.25">
      <c r="A687">
        <v>901</v>
      </c>
      <c r="B687" t="s">
        <v>1074</v>
      </c>
      <c r="G687" t="s">
        <v>1735</v>
      </c>
      <c r="I687" t="str">
        <f t="shared" si="10"/>
        <v>DESPESAS COM ASSINATURAS - JORNAIS E REVISTAS</v>
      </c>
    </row>
    <row r="688" spans="1:9" x14ac:dyDescent="0.25">
      <c r="A688">
        <v>902</v>
      </c>
      <c r="B688" t="s">
        <v>1075</v>
      </c>
      <c r="G688" t="s">
        <v>1736</v>
      </c>
      <c r="I688" t="str">
        <f t="shared" si="10"/>
        <v>CÓPIAS E LEGALIZAÇÕES</v>
      </c>
    </row>
    <row r="689" spans="1:9" x14ac:dyDescent="0.25">
      <c r="A689">
        <v>903</v>
      </c>
      <c r="B689" t="s">
        <v>1076</v>
      </c>
      <c r="G689" t="s">
        <v>151</v>
      </c>
      <c r="I689" t="str">
        <f t="shared" si="10"/>
        <v>DESPESAS COM MATERIAL DE LIMPEZA</v>
      </c>
    </row>
    <row r="690" spans="1:9" x14ac:dyDescent="0.25">
      <c r="A690">
        <v>904</v>
      </c>
      <c r="B690" t="s">
        <v>417</v>
      </c>
      <c r="G690" t="s">
        <v>418</v>
      </c>
      <c r="I690" t="str">
        <f t="shared" si="10"/>
        <v>MATERIAL DE ESCRITORIO</v>
      </c>
    </row>
    <row r="691" spans="1:9" x14ac:dyDescent="0.25">
      <c r="A691">
        <v>905</v>
      </c>
      <c r="B691" t="s">
        <v>419</v>
      </c>
      <c r="G691" t="s">
        <v>30</v>
      </c>
      <c r="I691" t="str">
        <f t="shared" si="10"/>
        <v>TELEFONE</v>
      </c>
    </row>
    <row r="692" spans="1:9" x14ac:dyDescent="0.25">
      <c r="A692">
        <v>906</v>
      </c>
      <c r="B692" t="s">
        <v>1077</v>
      </c>
      <c r="G692" t="s">
        <v>152</v>
      </c>
      <c r="I692" t="str">
        <f t="shared" si="10"/>
        <v>DESPESAS COM COPA</v>
      </c>
    </row>
    <row r="693" spans="1:9" x14ac:dyDescent="0.25">
      <c r="A693">
        <v>907</v>
      </c>
      <c r="B693" t="s">
        <v>1078</v>
      </c>
      <c r="G693" t="s">
        <v>153</v>
      </c>
      <c r="I693" t="str">
        <f t="shared" si="10"/>
        <v>COMBUSTIVEIS E LUBRIFICANTES</v>
      </c>
    </row>
    <row r="694" spans="1:9" x14ac:dyDescent="0.25">
      <c r="A694">
        <v>908</v>
      </c>
      <c r="B694" t="s">
        <v>1079</v>
      </c>
      <c r="G694" t="s">
        <v>154</v>
      </c>
      <c r="I694" t="str">
        <f t="shared" si="10"/>
        <v>DESPESAS COM CONDUÇÃO</v>
      </c>
    </row>
    <row r="695" spans="1:9" x14ac:dyDescent="0.25">
      <c r="A695">
        <v>909</v>
      </c>
      <c r="B695" t="s">
        <v>1080</v>
      </c>
      <c r="G695" t="s">
        <v>155</v>
      </c>
      <c r="I695" t="str">
        <f t="shared" si="10"/>
        <v>COMISSÕES</v>
      </c>
    </row>
    <row r="696" spans="1:9" x14ac:dyDescent="0.25">
      <c r="A696">
        <v>910</v>
      </c>
      <c r="B696" t="s">
        <v>420</v>
      </c>
      <c r="G696" t="s">
        <v>156</v>
      </c>
      <c r="I696" t="str">
        <f t="shared" si="10"/>
        <v>HONORÁRIOS PROFISSIONAIS</v>
      </c>
    </row>
    <row r="697" spans="1:9" x14ac:dyDescent="0.25">
      <c r="A697">
        <v>911</v>
      </c>
      <c r="B697" t="s">
        <v>421</v>
      </c>
      <c r="G697" t="s">
        <v>157</v>
      </c>
      <c r="I697" t="str">
        <f t="shared" si="10"/>
        <v>DESPESAS COM PEDÁGIO</v>
      </c>
    </row>
    <row r="698" spans="1:9" x14ac:dyDescent="0.25">
      <c r="A698">
        <v>912</v>
      </c>
      <c r="B698" t="s">
        <v>1081</v>
      </c>
      <c r="G698" t="s">
        <v>158</v>
      </c>
      <c r="I698" t="str">
        <f t="shared" si="10"/>
        <v>MATERIAL DE CONSUMO</v>
      </c>
    </row>
    <row r="699" spans="1:9" x14ac:dyDescent="0.25">
      <c r="A699">
        <v>913</v>
      </c>
      <c r="B699" t="s">
        <v>422</v>
      </c>
      <c r="G699" t="s">
        <v>423</v>
      </c>
      <c r="I699" t="str">
        <f t="shared" si="10"/>
        <v>PREMIOS DE SEGUROS</v>
      </c>
    </row>
    <row r="700" spans="1:9" x14ac:dyDescent="0.25">
      <c r="A700">
        <v>914</v>
      </c>
      <c r="B700" t="s">
        <v>1082</v>
      </c>
      <c r="G700" t="s">
        <v>159</v>
      </c>
      <c r="I700" t="str">
        <f t="shared" si="10"/>
        <v>DESPESAS COM INSTRUÇÃO</v>
      </c>
    </row>
    <row r="701" spans="1:9" x14ac:dyDescent="0.25">
      <c r="A701">
        <v>915</v>
      </c>
      <c r="B701" t="s">
        <v>1083</v>
      </c>
      <c r="G701" t="s">
        <v>160</v>
      </c>
      <c r="I701" t="str">
        <f t="shared" si="10"/>
        <v>DESPESAS COM LIVROS</v>
      </c>
    </row>
    <row r="702" spans="1:9" x14ac:dyDescent="0.25">
      <c r="A702">
        <v>916</v>
      </c>
      <c r="B702" t="s">
        <v>1084</v>
      </c>
      <c r="G702" t="s">
        <v>1737</v>
      </c>
      <c r="I702" t="str">
        <f t="shared" si="10"/>
        <v>CONTRIBUIÇÕES E DOAÇÕES</v>
      </c>
    </row>
    <row r="703" spans="1:9" x14ac:dyDescent="0.25">
      <c r="A703">
        <v>976</v>
      </c>
      <c r="B703" t="s">
        <v>1085</v>
      </c>
      <c r="G703" t="s">
        <v>459</v>
      </c>
      <c r="I703" t="str">
        <f t="shared" si="10"/>
        <v>ASSOCIAÇÃO DE CLASSE</v>
      </c>
    </row>
    <row r="704" spans="1:9" x14ac:dyDescent="0.25">
      <c r="A704">
        <v>977</v>
      </c>
      <c r="B704" t="s">
        <v>1086</v>
      </c>
      <c r="G704" t="s">
        <v>1738</v>
      </c>
      <c r="I704" t="str">
        <f t="shared" si="10"/>
        <v>INTERNET</v>
      </c>
    </row>
    <row r="705" spans="1:9" x14ac:dyDescent="0.25">
      <c r="A705">
        <v>978</v>
      </c>
      <c r="B705" t="s">
        <v>1087</v>
      </c>
      <c r="G705" t="s">
        <v>1181</v>
      </c>
      <c r="I705" t="str">
        <f t="shared" si="10"/>
        <v>DIVERSOS</v>
      </c>
    </row>
    <row r="706" spans="1:9" x14ac:dyDescent="0.25">
      <c r="A706">
        <v>309</v>
      </c>
      <c r="B706" t="s">
        <v>428</v>
      </c>
      <c r="F706" t="s">
        <v>429</v>
      </c>
      <c r="I706" t="str">
        <f t="shared" si="10"/>
        <v>DEPRECIAÇÕES</v>
      </c>
    </row>
    <row r="707" spans="1:9" x14ac:dyDescent="0.25">
      <c r="A707">
        <v>310</v>
      </c>
      <c r="B707" t="s">
        <v>431</v>
      </c>
      <c r="G707" t="s">
        <v>430</v>
      </c>
      <c r="I707" t="str">
        <f t="shared" si="10"/>
        <v>DEPRECIAÇÃO MÓVEIS E UTENSÍLIOS</v>
      </c>
    </row>
    <row r="708" spans="1:9" x14ac:dyDescent="0.25">
      <c r="A708">
        <v>917</v>
      </c>
      <c r="B708" t="s">
        <v>432</v>
      </c>
      <c r="G708" t="s">
        <v>442</v>
      </c>
      <c r="I708" t="str">
        <f t="shared" si="10"/>
        <v>DEPRECIAÇÃO MÁQUINAS E EQUIPAMENTOS</v>
      </c>
    </row>
    <row r="709" spans="1:9" x14ac:dyDescent="0.25">
      <c r="A709">
        <v>918</v>
      </c>
      <c r="B709" t="s">
        <v>433</v>
      </c>
      <c r="G709" t="s">
        <v>1708</v>
      </c>
      <c r="I709" t="str">
        <f t="shared" si="10"/>
        <v>DEPRECIAÇÃO CENTRO DE PROCESSAMENTO DE DADOS</v>
      </c>
    </row>
    <row r="710" spans="1:9" x14ac:dyDescent="0.25">
      <c r="A710">
        <v>919</v>
      </c>
      <c r="B710" t="s">
        <v>1089</v>
      </c>
      <c r="G710" t="s">
        <v>434</v>
      </c>
      <c r="I710" t="str">
        <f t="shared" si="10"/>
        <v>DEPRECIAÇÃO INSTALAÇÕES GERAIS</v>
      </c>
    </row>
    <row r="711" spans="1:9" x14ac:dyDescent="0.25">
      <c r="A711">
        <v>920</v>
      </c>
      <c r="B711" t="s">
        <v>435</v>
      </c>
      <c r="G711" t="s">
        <v>1741</v>
      </c>
      <c r="I711" t="str">
        <f t="shared" si="10"/>
        <v>DEPRECIAÇÃO EDIFICIOS E CONSTRUÇÕES</v>
      </c>
    </row>
    <row r="712" spans="1:9" x14ac:dyDescent="0.25">
      <c r="A712">
        <v>921</v>
      </c>
      <c r="B712" t="s">
        <v>437</v>
      </c>
      <c r="G712" t="s">
        <v>443</v>
      </c>
      <c r="I712" t="str">
        <f t="shared" si="10"/>
        <v>DEPRECIAÇÃO MOLDES E MATRIZES</v>
      </c>
    </row>
    <row r="713" spans="1:9" x14ac:dyDescent="0.25">
      <c r="A713">
        <v>922</v>
      </c>
      <c r="B713" t="s">
        <v>439</v>
      </c>
      <c r="G713" t="s">
        <v>436</v>
      </c>
      <c r="I713" t="str">
        <f t="shared" ref="I713:I758" si="11">IF(H713&lt;&gt;"",H713,IF(G713&lt;&gt;"",G713,IF(F713&lt;&gt;"",F713,IF(E713&lt;&gt;"",E713,IF(D713&lt;&gt;"",D713,IF(C713&lt;&gt;"",C713,B713))))))</f>
        <v>DEPRECIAÇÃO TELEFONIA</v>
      </c>
    </row>
    <row r="714" spans="1:9" x14ac:dyDescent="0.25">
      <c r="A714">
        <v>923</v>
      </c>
      <c r="B714" t="s">
        <v>1090</v>
      </c>
      <c r="G714" t="s">
        <v>438</v>
      </c>
      <c r="I714" t="str">
        <f t="shared" si="11"/>
        <v>DEPRECIAÇÃO MARCAS E PATENTES</v>
      </c>
    </row>
    <row r="715" spans="1:9" x14ac:dyDescent="0.25">
      <c r="A715">
        <v>924</v>
      </c>
      <c r="B715" t="s">
        <v>1091</v>
      </c>
      <c r="G715" t="s">
        <v>440</v>
      </c>
      <c r="I715" t="str">
        <f t="shared" si="11"/>
        <v>DEPRECIAÇÃO VEICULOS</v>
      </c>
    </row>
    <row r="716" spans="1:9" x14ac:dyDescent="0.25">
      <c r="A716">
        <v>311</v>
      </c>
      <c r="B716" t="s">
        <v>445</v>
      </c>
      <c r="F716" t="s">
        <v>461</v>
      </c>
      <c r="I716" t="str">
        <f t="shared" si="11"/>
        <v>DESPESAS TRIBUTARIAS</v>
      </c>
    </row>
    <row r="717" spans="1:9" x14ac:dyDescent="0.25">
      <c r="A717">
        <v>312</v>
      </c>
      <c r="B717" t="s">
        <v>446</v>
      </c>
      <c r="G717" t="s">
        <v>1597</v>
      </c>
      <c r="I717" t="str">
        <f t="shared" si="11"/>
        <v>PIS</v>
      </c>
    </row>
    <row r="718" spans="1:9" x14ac:dyDescent="0.25">
      <c r="A718">
        <v>313</v>
      </c>
      <c r="B718" t="s">
        <v>447</v>
      </c>
      <c r="G718" t="s">
        <v>1743</v>
      </c>
      <c r="I718" t="str">
        <f t="shared" si="11"/>
        <v>IPVA/DPVAT</v>
      </c>
    </row>
    <row r="719" spans="1:9" x14ac:dyDescent="0.25">
      <c r="A719">
        <v>925</v>
      </c>
      <c r="B719" t="s">
        <v>449</v>
      </c>
      <c r="G719" t="s">
        <v>1744</v>
      </c>
      <c r="I719" t="str">
        <f t="shared" si="11"/>
        <v>ICMS</v>
      </c>
    </row>
    <row r="720" spans="1:9" x14ac:dyDescent="0.25">
      <c r="A720">
        <v>926</v>
      </c>
      <c r="B720" t="s">
        <v>450</v>
      </c>
      <c r="G720" t="s">
        <v>463</v>
      </c>
      <c r="I720" t="str">
        <f t="shared" si="11"/>
        <v>IPTU</v>
      </c>
    </row>
    <row r="721" spans="1:9" x14ac:dyDescent="0.25">
      <c r="A721">
        <v>927</v>
      </c>
      <c r="B721" t="s">
        <v>451</v>
      </c>
      <c r="G721" t="s">
        <v>465</v>
      </c>
      <c r="I721" t="str">
        <f t="shared" si="11"/>
        <v>IMPOSTOS E TAXAS DIVERSAS</v>
      </c>
    </row>
    <row r="722" spans="1:9" x14ac:dyDescent="0.25">
      <c r="A722">
        <v>928</v>
      </c>
      <c r="B722" t="s">
        <v>1092</v>
      </c>
      <c r="G722" t="s">
        <v>466</v>
      </c>
      <c r="I722" t="str">
        <f t="shared" si="11"/>
        <v>CONTRIBUIÇÕES A SINDICATOS</v>
      </c>
    </row>
    <row r="723" spans="1:9" x14ac:dyDescent="0.25">
      <c r="A723">
        <v>929</v>
      </c>
      <c r="B723" t="s">
        <v>452</v>
      </c>
      <c r="G723" t="s">
        <v>1745</v>
      </c>
      <c r="I723" t="str">
        <f t="shared" si="11"/>
        <v>TAXA DE FISCALIZAÇÃO E FUNCIONAMENTO</v>
      </c>
    </row>
    <row r="724" spans="1:9" x14ac:dyDescent="0.25">
      <c r="A724">
        <v>930</v>
      </c>
      <c r="B724" t="s">
        <v>453</v>
      </c>
      <c r="G724" t="s">
        <v>1746</v>
      </c>
      <c r="I724" t="str">
        <f t="shared" si="11"/>
        <v>MULTAS DE MORA</v>
      </c>
    </row>
    <row r="725" spans="1:9" x14ac:dyDescent="0.25">
      <c r="A725">
        <v>931</v>
      </c>
      <c r="B725" t="s">
        <v>1093</v>
      </c>
      <c r="G725" t="s">
        <v>467</v>
      </c>
      <c r="I725" t="str">
        <f t="shared" si="11"/>
        <v>JUROS DE MORA</v>
      </c>
    </row>
    <row r="726" spans="1:9" x14ac:dyDescent="0.25">
      <c r="A726">
        <v>932</v>
      </c>
      <c r="B726" t="s">
        <v>1094</v>
      </c>
      <c r="G726" t="s">
        <v>1747</v>
      </c>
      <c r="I726" t="str">
        <f t="shared" si="11"/>
        <v>CONTRIBUIÇÃO SOCIAL</v>
      </c>
    </row>
    <row r="727" spans="1:9" x14ac:dyDescent="0.25">
      <c r="A727">
        <v>933</v>
      </c>
      <c r="B727" t="s">
        <v>1095</v>
      </c>
      <c r="G727" t="s">
        <v>1595</v>
      </c>
      <c r="I727" t="str">
        <f t="shared" si="11"/>
        <v>IRPJ</v>
      </c>
    </row>
    <row r="728" spans="1:9" x14ac:dyDescent="0.25">
      <c r="A728">
        <v>934</v>
      </c>
      <c r="B728" t="s">
        <v>1096</v>
      </c>
      <c r="G728" t="s">
        <v>468</v>
      </c>
      <c r="I728" t="str">
        <f t="shared" si="11"/>
        <v>I.S.S.Q.N</v>
      </c>
    </row>
    <row r="729" spans="1:9" x14ac:dyDescent="0.25">
      <c r="A729">
        <v>935</v>
      </c>
      <c r="B729" t="s">
        <v>1097</v>
      </c>
      <c r="G729" t="s">
        <v>1149</v>
      </c>
      <c r="I729" t="str">
        <f t="shared" si="11"/>
        <v>IMPOSTO DE RENDA RETIDO NA FONTE</v>
      </c>
    </row>
    <row r="730" spans="1:9" x14ac:dyDescent="0.25">
      <c r="A730">
        <v>936</v>
      </c>
      <c r="B730" t="s">
        <v>455</v>
      </c>
      <c r="G730" t="s">
        <v>469</v>
      </c>
      <c r="I730" t="str">
        <f t="shared" si="11"/>
        <v>TAXA DE PUBLICIDADE</v>
      </c>
    </row>
    <row r="731" spans="1:9" x14ac:dyDescent="0.25">
      <c r="A731">
        <v>937</v>
      </c>
      <c r="B731" t="s">
        <v>1098</v>
      </c>
      <c r="G731" t="s">
        <v>1748</v>
      </c>
      <c r="I731" t="str">
        <f t="shared" si="11"/>
        <v>IR GANHO DE CAPITAL</v>
      </c>
    </row>
    <row r="732" spans="1:9" x14ac:dyDescent="0.25">
      <c r="A732">
        <v>938</v>
      </c>
      <c r="B732" t="s">
        <v>456</v>
      </c>
      <c r="G732" t="s">
        <v>1599</v>
      </c>
      <c r="I732" t="str">
        <f t="shared" si="11"/>
        <v>IPI</v>
      </c>
    </row>
    <row r="733" spans="1:9" x14ac:dyDescent="0.25">
      <c r="A733">
        <v>939</v>
      </c>
      <c r="B733" t="s">
        <v>457</v>
      </c>
      <c r="G733" t="s">
        <v>470</v>
      </c>
      <c r="I733" t="str">
        <f t="shared" si="11"/>
        <v>MULTA E JUROS</v>
      </c>
    </row>
    <row r="734" spans="1:9" x14ac:dyDescent="0.25">
      <c r="A734">
        <v>979</v>
      </c>
      <c r="B734" t="s">
        <v>458</v>
      </c>
      <c r="G734" t="s">
        <v>471</v>
      </c>
      <c r="I734" t="str">
        <f t="shared" si="11"/>
        <v>TAXA DE CONTROLE E FISCALIZAÇÃO - IBAMA</v>
      </c>
    </row>
    <row r="735" spans="1:9" x14ac:dyDescent="0.25">
      <c r="A735">
        <v>314</v>
      </c>
      <c r="B735" t="s">
        <v>460</v>
      </c>
      <c r="F735" t="s">
        <v>473</v>
      </c>
      <c r="I735" t="str">
        <f t="shared" si="11"/>
        <v>DESPESAS INDEDUTIVEIS</v>
      </c>
    </row>
    <row r="736" spans="1:9" x14ac:dyDescent="0.25">
      <c r="A736">
        <v>940</v>
      </c>
      <c r="B736" t="s">
        <v>1099</v>
      </c>
      <c r="G736" t="s">
        <v>1749</v>
      </c>
      <c r="I736" t="str">
        <f t="shared" si="11"/>
        <v>AJUSTE DE EXERCICIOS ANTERIORES</v>
      </c>
    </row>
    <row r="737" spans="1:9" x14ac:dyDescent="0.25">
      <c r="A737">
        <v>316</v>
      </c>
      <c r="B737" t="s">
        <v>1100</v>
      </c>
      <c r="G737" t="s">
        <v>475</v>
      </c>
      <c r="I737" t="str">
        <f t="shared" si="11"/>
        <v>MULTAS E INFRAÇÕES FISCAIS</v>
      </c>
    </row>
    <row r="738" spans="1:9" x14ac:dyDescent="0.25">
      <c r="A738">
        <v>317</v>
      </c>
      <c r="B738" t="s">
        <v>1101</v>
      </c>
      <c r="G738" t="s">
        <v>1750</v>
      </c>
      <c r="I738" t="str">
        <f t="shared" si="11"/>
        <v>HOSPEDAGEM</v>
      </c>
    </row>
    <row r="739" spans="1:9" x14ac:dyDescent="0.25">
      <c r="A739">
        <v>318</v>
      </c>
      <c r="B739" t="s">
        <v>462</v>
      </c>
      <c r="G739" t="s">
        <v>1751</v>
      </c>
      <c r="I739" t="str">
        <f t="shared" si="11"/>
        <v>REFEIÇÕES</v>
      </c>
    </row>
    <row r="740" spans="1:9" x14ac:dyDescent="0.25">
      <c r="A740">
        <v>315</v>
      </c>
      <c r="B740" t="s">
        <v>464</v>
      </c>
      <c r="G740" t="s">
        <v>1752</v>
      </c>
      <c r="I740" t="str">
        <f t="shared" si="11"/>
        <v>VIAGENS TERRESTRES</v>
      </c>
    </row>
    <row r="741" spans="1:9" x14ac:dyDescent="0.25">
      <c r="A741">
        <v>319</v>
      </c>
      <c r="B741" t="s">
        <v>472</v>
      </c>
      <c r="F741" t="s">
        <v>477</v>
      </c>
      <c r="I741" t="str">
        <f t="shared" si="11"/>
        <v>DESPESAS FINANCEIRAS</v>
      </c>
    </row>
    <row r="742" spans="1:9" x14ac:dyDescent="0.25">
      <c r="A742">
        <v>320</v>
      </c>
      <c r="B742" t="s">
        <v>1102</v>
      </c>
      <c r="G742" t="s">
        <v>1753</v>
      </c>
      <c r="I742" t="str">
        <f t="shared" si="11"/>
        <v>VARIAÇÕES CAMBIAIS PASSIVAS</v>
      </c>
    </row>
    <row r="743" spans="1:9" x14ac:dyDescent="0.25">
      <c r="A743">
        <v>321</v>
      </c>
      <c r="B743" t="s">
        <v>474</v>
      </c>
      <c r="G743" t="s">
        <v>1754</v>
      </c>
      <c r="I743" t="str">
        <f t="shared" si="11"/>
        <v>PERDAS INCORRIDAS NO MERCADO DE RENDA VARIAVEL</v>
      </c>
    </row>
    <row r="744" spans="1:9" x14ac:dyDescent="0.25">
      <c r="A744">
        <v>322</v>
      </c>
      <c r="B744" t="s">
        <v>1103</v>
      </c>
      <c r="G744" t="s">
        <v>1755</v>
      </c>
      <c r="I744" t="str">
        <f t="shared" si="11"/>
        <v>PERDAS EM OPERAÇÕES DAY TRADE</v>
      </c>
    </row>
    <row r="745" spans="1:9" x14ac:dyDescent="0.25">
      <c r="A745">
        <v>323</v>
      </c>
      <c r="B745" t="s">
        <v>1104</v>
      </c>
      <c r="G745" t="s">
        <v>1756</v>
      </c>
      <c r="I745" t="str">
        <f t="shared" si="11"/>
        <v>JUROS S/ CAPITAL PROPRIO</v>
      </c>
    </row>
    <row r="746" spans="1:9" x14ac:dyDescent="0.25">
      <c r="A746">
        <v>324</v>
      </c>
      <c r="B746" t="s">
        <v>1105</v>
      </c>
      <c r="G746" t="s">
        <v>1757</v>
      </c>
      <c r="I746" t="str">
        <f t="shared" si="11"/>
        <v>REMUNERAÇÃO DE DEBENTURES</v>
      </c>
    </row>
    <row r="747" spans="1:9" x14ac:dyDescent="0.25">
      <c r="A747">
        <v>325</v>
      </c>
      <c r="B747" t="s">
        <v>1106</v>
      </c>
      <c r="G747" t="s">
        <v>161</v>
      </c>
      <c r="I747" t="str">
        <f t="shared" si="11"/>
        <v>DESPESAS BANCARIAS</v>
      </c>
    </row>
    <row r="748" spans="1:9" x14ac:dyDescent="0.25">
      <c r="A748">
        <v>326</v>
      </c>
      <c r="B748" t="s">
        <v>1107</v>
      </c>
      <c r="G748" t="s">
        <v>1758</v>
      </c>
      <c r="I748" t="str">
        <f t="shared" si="11"/>
        <v>JUROS PASSIVOS</v>
      </c>
    </row>
    <row r="749" spans="1:9" x14ac:dyDescent="0.25">
      <c r="A749">
        <v>941</v>
      </c>
      <c r="B749" t="s">
        <v>1108</v>
      </c>
      <c r="G749" t="s">
        <v>1759</v>
      </c>
      <c r="I749" t="str">
        <f t="shared" si="11"/>
        <v>VARIAÇÕES MONETARIAS PASSIVAS</v>
      </c>
    </row>
    <row r="750" spans="1:9" x14ac:dyDescent="0.25">
      <c r="A750">
        <v>942</v>
      </c>
      <c r="B750" t="s">
        <v>1109</v>
      </c>
      <c r="G750" t="s">
        <v>478</v>
      </c>
      <c r="I750" t="str">
        <f t="shared" si="11"/>
        <v>IOF</v>
      </c>
    </row>
    <row r="751" spans="1:9" x14ac:dyDescent="0.25">
      <c r="A751">
        <v>327</v>
      </c>
      <c r="B751" t="s">
        <v>476</v>
      </c>
      <c r="F751" t="s">
        <v>1761</v>
      </c>
      <c r="I751" t="str">
        <f t="shared" si="11"/>
        <v>EQUIVALENCIA PATRIMONIAL</v>
      </c>
    </row>
    <row r="752" spans="1:9" x14ac:dyDescent="0.25">
      <c r="A752">
        <v>328</v>
      </c>
      <c r="B752" t="s">
        <v>1111</v>
      </c>
      <c r="G752" t="s">
        <v>1762</v>
      </c>
      <c r="I752" t="str">
        <f t="shared" si="11"/>
        <v>RESULTADO NEGATIVO DA EQUIVALENCIA PATRIMONIAL</v>
      </c>
    </row>
    <row r="753" spans="1:9" x14ac:dyDescent="0.25">
      <c r="A753">
        <v>943</v>
      </c>
      <c r="B753" t="s">
        <v>1112</v>
      </c>
      <c r="F753" t="s">
        <v>1763</v>
      </c>
      <c r="I753" t="str">
        <f t="shared" si="11"/>
        <v>OUTRAS DESPESAS OPERACIONAIS</v>
      </c>
    </row>
    <row r="754" spans="1:9" x14ac:dyDescent="0.25">
      <c r="A754">
        <v>944</v>
      </c>
      <c r="B754" t="s">
        <v>1113</v>
      </c>
      <c r="G754" t="s">
        <v>1764</v>
      </c>
      <c r="I754" t="str">
        <f t="shared" si="11"/>
        <v>RESULT. VENDAS/BAIXAS DO ATIVO IMOBILIZADO</v>
      </c>
    </row>
    <row r="755" spans="1:9" x14ac:dyDescent="0.25">
      <c r="A755">
        <v>980</v>
      </c>
      <c r="B755" t="s">
        <v>1114</v>
      </c>
      <c r="G755" t="s">
        <v>1765</v>
      </c>
      <c r="I755" t="str">
        <f t="shared" si="11"/>
        <v>PERDAS NA VENDA DE ATIVO PERMANENTE</v>
      </c>
    </row>
    <row r="756" spans="1:9" x14ac:dyDescent="0.25">
      <c r="A756">
        <v>945</v>
      </c>
      <c r="B756" t="s">
        <v>1115</v>
      </c>
      <c r="F756" t="s">
        <v>1766</v>
      </c>
      <c r="I756" t="str">
        <f t="shared" si="11"/>
        <v>PROVISÃO DE IRPJ E CSLL</v>
      </c>
    </row>
    <row r="757" spans="1:9" x14ac:dyDescent="0.25">
      <c r="A757">
        <v>946</v>
      </c>
      <c r="B757" t="s">
        <v>1116</v>
      </c>
      <c r="G757" t="s">
        <v>1767</v>
      </c>
      <c r="I757" t="str">
        <f t="shared" si="11"/>
        <v>CONTRIBUIÇÃO SOCIAL SOBRE O LUCRO LIQUIDO</v>
      </c>
    </row>
    <row r="758" spans="1:9" x14ac:dyDescent="0.25">
      <c r="A758">
        <v>947</v>
      </c>
      <c r="B758" t="s">
        <v>1117</v>
      </c>
      <c r="G758" t="s">
        <v>1768</v>
      </c>
      <c r="I758" t="str">
        <f t="shared" si="11"/>
        <v>IMPOSTO DE RENDA PESSOA JURIDICA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M1069"/>
  <sheetViews>
    <sheetView workbookViewId="0">
      <selection activeCell="E2" sqref="E2"/>
    </sheetView>
  </sheetViews>
  <sheetFormatPr defaultRowHeight="15" x14ac:dyDescent="0.25"/>
  <cols>
    <col min="2" max="2" width="9.85546875" customWidth="1"/>
    <col min="3" max="3" width="60.85546875" bestFit="1" customWidth="1"/>
    <col min="5" max="5" width="10.5703125" bestFit="1" customWidth="1"/>
  </cols>
  <sheetData>
    <row r="1" spans="1:13" x14ac:dyDescent="0.25">
      <c r="A1" s="21" t="s">
        <v>11</v>
      </c>
      <c r="B1" s="21" t="s">
        <v>22</v>
      </c>
      <c r="C1" s="21" t="s">
        <v>12</v>
      </c>
      <c r="E1" s="21" t="s">
        <v>1896</v>
      </c>
      <c r="F1" s="21" t="s">
        <v>12</v>
      </c>
    </row>
    <row r="2" spans="1:13" x14ac:dyDescent="0.25">
      <c r="C2" t="s">
        <v>187</v>
      </c>
      <c r="E2">
        <v>20</v>
      </c>
      <c r="F2" t="s">
        <v>1797</v>
      </c>
      <c r="L2">
        <v>48</v>
      </c>
      <c r="M2" t="s">
        <v>1166</v>
      </c>
    </row>
    <row r="3" spans="1:13" x14ac:dyDescent="0.25">
      <c r="C3" t="s">
        <v>1124</v>
      </c>
      <c r="E3">
        <v>45</v>
      </c>
      <c r="F3" t="s">
        <v>1821</v>
      </c>
    </row>
    <row r="4" spans="1:13" x14ac:dyDescent="0.25">
      <c r="C4" t="s">
        <v>60</v>
      </c>
      <c r="E4">
        <v>46</v>
      </c>
      <c r="F4" t="s">
        <v>1822</v>
      </c>
    </row>
    <row r="5" spans="1:13" x14ac:dyDescent="0.25">
      <c r="C5" t="s">
        <v>60</v>
      </c>
      <c r="E5">
        <v>56</v>
      </c>
      <c r="F5" t="s">
        <v>1832</v>
      </c>
    </row>
    <row r="6" spans="1:13" x14ac:dyDescent="0.25">
      <c r="C6" t="s">
        <v>187</v>
      </c>
      <c r="E6">
        <v>110</v>
      </c>
      <c r="F6" t="s">
        <v>1883</v>
      </c>
    </row>
    <row r="7" spans="1:13" x14ac:dyDescent="0.25">
      <c r="C7" t="s">
        <v>1124</v>
      </c>
      <c r="E7">
        <v>15</v>
      </c>
      <c r="F7" t="s">
        <v>23</v>
      </c>
    </row>
    <row r="8" spans="1:13" x14ac:dyDescent="0.25">
      <c r="C8" t="s">
        <v>187</v>
      </c>
    </row>
    <row r="9" spans="1:13" x14ac:dyDescent="0.25">
      <c r="C9" t="s">
        <v>1124</v>
      </c>
    </row>
    <row r="10" spans="1:13" x14ac:dyDescent="0.25">
      <c r="C10" t="s">
        <v>1510</v>
      </c>
    </row>
    <row r="11" spans="1:13" x14ac:dyDescent="0.25">
      <c r="C11" t="s">
        <v>187</v>
      </c>
    </row>
    <row r="12" spans="1:13" x14ac:dyDescent="0.25">
      <c r="C12" t="s">
        <v>187</v>
      </c>
    </row>
    <row r="13" spans="1:13" x14ac:dyDescent="0.25">
      <c r="C13" t="s">
        <v>84</v>
      </c>
    </row>
    <row r="14" spans="1:13" x14ac:dyDescent="0.25">
      <c r="C14" t="s">
        <v>187</v>
      </c>
    </row>
    <row r="15" spans="1:13" x14ac:dyDescent="0.25">
      <c r="C15" t="s">
        <v>84</v>
      </c>
    </row>
    <row r="16" spans="1:13" x14ac:dyDescent="0.25">
      <c r="C16" t="s">
        <v>187</v>
      </c>
    </row>
    <row r="17" spans="3:3" x14ac:dyDescent="0.25">
      <c r="C17" t="s">
        <v>84</v>
      </c>
    </row>
    <row r="18" spans="3:3" x14ac:dyDescent="0.25">
      <c r="C18" t="s">
        <v>187</v>
      </c>
    </row>
    <row r="19" spans="3:3" x14ac:dyDescent="0.25">
      <c r="C19" t="s">
        <v>84</v>
      </c>
    </row>
    <row r="20" spans="3:3" x14ac:dyDescent="0.25">
      <c r="C20" t="s">
        <v>1635</v>
      </c>
    </row>
    <row r="21" spans="3:3" x14ac:dyDescent="0.25">
      <c r="C21" t="s">
        <v>1636</v>
      </c>
    </row>
    <row r="22" spans="3:3" x14ac:dyDescent="0.25">
      <c r="C22" t="s">
        <v>1637</v>
      </c>
    </row>
    <row r="23" spans="3:3" x14ac:dyDescent="0.25">
      <c r="C23" t="s">
        <v>1638</v>
      </c>
    </row>
    <row r="24" spans="3:3" x14ac:dyDescent="0.25">
      <c r="C24" t="s">
        <v>1639</v>
      </c>
    </row>
    <row r="25" spans="3:3" x14ac:dyDescent="0.25">
      <c r="C25" t="s">
        <v>373</v>
      </c>
    </row>
    <row r="26" spans="3:3" x14ac:dyDescent="0.25">
      <c r="C26" t="s">
        <v>376</v>
      </c>
    </row>
    <row r="27" spans="3:3" x14ac:dyDescent="0.25">
      <c r="C27" t="s">
        <v>381</v>
      </c>
    </row>
    <row r="28" spans="3:3" x14ac:dyDescent="0.25">
      <c r="C28" t="s">
        <v>187</v>
      </c>
    </row>
    <row r="29" spans="3:3" x14ac:dyDescent="0.25">
      <c r="C29" t="s">
        <v>473</v>
      </c>
    </row>
    <row r="30" spans="3:3" x14ac:dyDescent="0.25">
      <c r="C30" t="s">
        <v>477</v>
      </c>
    </row>
    <row r="31" spans="3:3" x14ac:dyDescent="0.25">
      <c r="C31" t="s">
        <v>161</v>
      </c>
    </row>
    <row r="32" spans="3:3" x14ac:dyDescent="0.25">
      <c r="C32" t="s">
        <v>1763</v>
      </c>
    </row>
    <row r="33" spans="3:3" x14ac:dyDescent="0.25">
      <c r="C33" t="s">
        <v>1144</v>
      </c>
    </row>
    <row r="34" spans="3:3" x14ac:dyDescent="0.25">
      <c r="C34" t="s">
        <v>1144</v>
      </c>
    </row>
    <row r="35" spans="3:3" x14ac:dyDescent="0.25">
      <c r="C35" t="s">
        <v>198</v>
      </c>
    </row>
    <row r="36" spans="3:3" x14ac:dyDescent="0.25">
      <c r="C36" t="s">
        <v>56</v>
      </c>
    </row>
    <row r="37" spans="3:3" x14ac:dyDescent="0.25">
      <c r="C37" t="s">
        <v>1125</v>
      </c>
    </row>
    <row r="38" spans="3:3" x14ac:dyDescent="0.25">
      <c r="C38" t="s">
        <v>1118</v>
      </c>
    </row>
    <row r="39" spans="3:3" x14ac:dyDescent="0.25">
      <c r="C39" t="s">
        <v>1126</v>
      </c>
    </row>
    <row r="40" spans="3:3" x14ac:dyDescent="0.25">
      <c r="C40" t="s">
        <v>192</v>
      </c>
    </row>
    <row r="41" spans="3:3" x14ac:dyDescent="0.25">
      <c r="C41" t="s">
        <v>1127</v>
      </c>
    </row>
    <row r="42" spans="3:3" x14ac:dyDescent="0.25">
      <c r="C42" t="s">
        <v>1121</v>
      </c>
    </row>
    <row r="43" spans="3:3" x14ac:dyDescent="0.25">
      <c r="C43" t="s">
        <v>1130</v>
      </c>
    </row>
    <row r="44" spans="3:3" x14ac:dyDescent="0.25">
      <c r="C44" t="s">
        <v>1122</v>
      </c>
    </row>
    <row r="45" spans="3:3" x14ac:dyDescent="0.25">
      <c r="C45" t="s">
        <v>1190</v>
      </c>
    </row>
    <row r="46" spans="3:3" x14ac:dyDescent="0.25">
      <c r="C46" t="s">
        <v>185</v>
      </c>
    </row>
    <row r="47" spans="3:3" x14ac:dyDescent="0.25">
      <c r="C47" t="s">
        <v>1123</v>
      </c>
    </row>
    <row r="48" spans="3:3" x14ac:dyDescent="0.25">
      <c r="C48" t="s">
        <v>187</v>
      </c>
    </row>
    <row r="49" spans="3:3" x14ac:dyDescent="0.25">
      <c r="C49" t="s">
        <v>1124</v>
      </c>
    </row>
    <row r="50" spans="3:3" x14ac:dyDescent="0.25">
      <c r="C50" t="s">
        <v>189</v>
      </c>
    </row>
    <row r="51" spans="3:3" x14ac:dyDescent="0.25">
      <c r="C51" t="s">
        <v>198</v>
      </c>
    </row>
    <row r="52" spans="3:3" x14ac:dyDescent="0.25">
      <c r="C52" t="s">
        <v>56</v>
      </c>
    </row>
    <row r="53" spans="3:3" x14ac:dyDescent="0.25">
      <c r="C53" t="s">
        <v>1118</v>
      </c>
    </row>
    <row r="54" spans="3:3" x14ac:dyDescent="0.25">
      <c r="C54" t="s">
        <v>1126</v>
      </c>
    </row>
    <row r="55" spans="3:3" x14ac:dyDescent="0.25">
      <c r="C55" t="s">
        <v>192</v>
      </c>
    </row>
    <row r="56" spans="3:3" x14ac:dyDescent="0.25">
      <c r="C56" t="s">
        <v>1127</v>
      </c>
    </row>
    <row r="57" spans="3:3" x14ac:dyDescent="0.25">
      <c r="C57" t="s">
        <v>1121</v>
      </c>
    </row>
    <row r="58" spans="3:3" x14ac:dyDescent="0.25">
      <c r="C58" t="s">
        <v>1130</v>
      </c>
    </row>
    <row r="59" spans="3:3" x14ac:dyDescent="0.25">
      <c r="C59" t="s">
        <v>1122</v>
      </c>
    </row>
    <row r="60" spans="3:3" x14ac:dyDescent="0.25">
      <c r="C60" t="s">
        <v>1190</v>
      </c>
    </row>
    <row r="61" spans="3:3" x14ac:dyDescent="0.25">
      <c r="C61" t="s">
        <v>185</v>
      </c>
    </row>
    <row r="62" spans="3:3" x14ac:dyDescent="0.25">
      <c r="C62" t="s">
        <v>187</v>
      </c>
    </row>
    <row r="63" spans="3:3" x14ac:dyDescent="0.25">
      <c r="C63" t="s">
        <v>189</v>
      </c>
    </row>
    <row r="64" spans="3:3" x14ac:dyDescent="0.25">
      <c r="C64" t="s">
        <v>56</v>
      </c>
    </row>
    <row r="65" spans="3:3" x14ac:dyDescent="0.25">
      <c r="C65" t="s">
        <v>1118</v>
      </c>
    </row>
    <row r="66" spans="3:3" x14ac:dyDescent="0.25">
      <c r="C66" t="s">
        <v>192</v>
      </c>
    </row>
    <row r="67" spans="3:3" x14ac:dyDescent="0.25">
      <c r="C67" t="s">
        <v>1121</v>
      </c>
    </row>
    <row r="68" spans="3:3" x14ac:dyDescent="0.25">
      <c r="C68" t="s">
        <v>1122</v>
      </c>
    </row>
    <row r="69" spans="3:3" x14ac:dyDescent="0.25">
      <c r="C69" t="s">
        <v>185</v>
      </c>
    </row>
    <row r="70" spans="3:3" x14ac:dyDescent="0.25">
      <c r="C70" t="s">
        <v>83</v>
      </c>
    </row>
    <row r="71" spans="3:3" x14ac:dyDescent="0.25">
      <c r="C71" t="s">
        <v>187</v>
      </c>
    </row>
    <row r="72" spans="3:3" x14ac:dyDescent="0.25">
      <c r="C72" t="s">
        <v>84</v>
      </c>
    </row>
    <row r="73" spans="3:3" x14ac:dyDescent="0.25">
      <c r="C73" t="s">
        <v>189</v>
      </c>
    </row>
    <row r="74" spans="3:3" x14ac:dyDescent="0.25">
      <c r="C74" t="s">
        <v>85</v>
      </c>
    </row>
    <row r="75" spans="3:3" x14ac:dyDescent="0.25">
      <c r="C75" t="s">
        <v>56</v>
      </c>
    </row>
    <row r="76" spans="3:3" x14ac:dyDescent="0.25">
      <c r="C76" t="s">
        <v>86</v>
      </c>
    </row>
    <row r="77" spans="3:3" x14ac:dyDescent="0.25">
      <c r="C77" t="s">
        <v>1118</v>
      </c>
    </row>
    <row r="78" spans="3:3" x14ac:dyDescent="0.25">
      <c r="C78" t="s">
        <v>87</v>
      </c>
    </row>
    <row r="79" spans="3:3" x14ac:dyDescent="0.25">
      <c r="C79" t="s">
        <v>192</v>
      </c>
    </row>
    <row r="80" spans="3:3" x14ac:dyDescent="0.25">
      <c r="C80" t="s">
        <v>88</v>
      </c>
    </row>
    <row r="81" spans="3:3" x14ac:dyDescent="0.25">
      <c r="C81" t="s">
        <v>1121</v>
      </c>
    </row>
    <row r="82" spans="3:3" x14ac:dyDescent="0.25">
      <c r="C82" t="s">
        <v>91</v>
      </c>
    </row>
    <row r="83" spans="3:3" x14ac:dyDescent="0.25">
      <c r="C83" t="s">
        <v>1122</v>
      </c>
    </row>
    <row r="84" spans="3:3" x14ac:dyDescent="0.25">
      <c r="C84" t="s">
        <v>92</v>
      </c>
    </row>
    <row r="85" spans="3:3" x14ac:dyDescent="0.25">
      <c r="C85" t="s">
        <v>185</v>
      </c>
    </row>
    <row r="86" spans="3:3" x14ac:dyDescent="0.25">
      <c r="C86" t="s">
        <v>83</v>
      </c>
    </row>
    <row r="87" spans="3:3" x14ac:dyDescent="0.25">
      <c r="C87" t="s">
        <v>187</v>
      </c>
    </row>
    <row r="88" spans="3:3" x14ac:dyDescent="0.25">
      <c r="C88" t="s">
        <v>84</v>
      </c>
    </row>
    <row r="89" spans="3:3" x14ac:dyDescent="0.25">
      <c r="C89" t="s">
        <v>189</v>
      </c>
    </row>
    <row r="90" spans="3:3" x14ac:dyDescent="0.25">
      <c r="C90" t="s">
        <v>85</v>
      </c>
    </row>
    <row r="91" spans="3:3" x14ac:dyDescent="0.25">
      <c r="C91" t="s">
        <v>56</v>
      </c>
    </row>
    <row r="92" spans="3:3" x14ac:dyDescent="0.25">
      <c r="C92" t="s">
        <v>86</v>
      </c>
    </row>
    <row r="93" spans="3:3" x14ac:dyDescent="0.25">
      <c r="C93" t="s">
        <v>1583</v>
      </c>
    </row>
    <row r="94" spans="3:3" x14ac:dyDescent="0.25">
      <c r="C94" t="s">
        <v>87</v>
      </c>
    </row>
    <row r="95" spans="3:3" x14ac:dyDescent="0.25">
      <c r="C95" t="s">
        <v>192</v>
      </c>
    </row>
    <row r="96" spans="3:3" x14ac:dyDescent="0.25">
      <c r="C96" t="s">
        <v>88</v>
      </c>
    </row>
    <row r="97" spans="1:3" x14ac:dyDescent="0.25">
      <c r="C97" t="s">
        <v>1121</v>
      </c>
    </row>
    <row r="98" spans="1:3" x14ac:dyDescent="0.25">
      <c r="C98" t="s">
        <v>91</v>
      </c>
    </row>
    <row r="99" spans="1:3" x14ac:dyDescent="0.25">
      <c r="C99" t="s">
        <v>1122</v>
      </c>
    </row>
    <row r="100" spans="1:3" x14ac:dyDescent="0.25">
      <c r="C100" t="s">
        <v>92</v>
      </c>
    </row>
    <row r="101" spans="1:3" x14ac:dyDescent="0.25">
      <c r="A101">
        <v>222</v>
      </c>
      <c r="B101" t="s">
        <v>788</v>
      </c>
      <c r="C101" t="s">
        <v>1587</v>
      </c>
    </row>
    <row r="102" spans="1:3" x14ac:dyDescent="0.25">
      <c r="A102">
        <v>726</v>
      </c>
      <c r="B102" t="s">
        <v>793</v>
      </c>
      <c r="C102" t="s">
        <v>185</v>
      </c>
    </row>
    <row r="103" spans="1:3" x14ac:dyDescent="0.25">
      <c r="A103">
        <v>727</v>
      </c>
      <c r="B103" t="s">
        <v>793</v>
      </c>
      <c r="C103" t="s">
        <v>83</v>
      </c>
    </row>
    <row r="104" spans="1:3" x14ac:dyDescent="0.25">
      <c r="A104">
        <v>728</v>
      </c>
      <c r="B104" t="s">
        <v>793</v>
      </c>
      <c r="C104" t="s">
        <v>187</v>
      </c>
    </row>
    <row r="105" spans="1:3" x14ac:dyDescent="0.25">
      <c r="A105">
        <v>729</v>
      </c>
      <c r="B105" t="s">
        <v>793</v>
      </c>
      <c r="C105" t="s">
        <v>84</v>
      </c>
    </row>
    <row r="106" spans="1:3" x14ac:dyDescent="0.25">
      <c r="A106">
        <v>730</v>
      </c>
      <c r="B106" t="s">
        <v>793</v>
      </c>
      <c r="C106" t="s">
        <v>189</v>
      </c>
    </row>
    <row r="107" spans="1:3" x14ac:dyDescent="0.25">
      <c r="A107">
        <v>731</v>
      </c>
      <c r="B107" t="s">
        <v>793</v>
      </c>
      <c r="C107" t="s">
        <v>85</v>
      </c>
    </row>
    <row r="108" spans="1:3" x14ac:dyDescent="0.25">
      <c r="A108">
        <v>732</v>
      </c>
      <c r="B108" t="s">
        <v>793</v>
      </c>
      <c r="C108" t="s">
        <v>56</v>
      </c>
    </row>
    <row r="109" spans="1:3" x14ac:dyDescent="0.25">
      <c r="A109">
        <v>733</v>
      </c>
      <c r="B109" t="s">
        <v>793</v>
      </c>
      <c r="C109" t="s">
        <v>86</v>
      </c>
    </row>
    <row r="110" spans="1:3" x14ac:dyDescent="0.25">
      <c r="A110">
        <v>734</v>
      </c>
      <c r="B110" t="s">
        <v>793</v>
      </c>
      <c r="C110" t="s">
        <v>1118</v>
      </c>
    </row>
    <row r="111" spans="1:3" x14ac:dyDescent="0.25">
      <c r="A111">
        <v>735</v>
      </c>
      <c r="B111" t="s">
        <v>793</v>
      </c>
      <c r="C111" t="s">
        <v>87</v>
      </c>
    </row>
    <row r="112" spans="1:3" x14ac:dyDescent="0.25">
      <c r="A112">
        <v>736</v>
      </c>
      <c r="B112" t="s">
        <v>793</v>
      </c>
      <c r="C112" t="s">
        <v>192</v>
      </c>
    </row>
    <row r="113" spans="1:3" x14ac:dyDescent="0.25">
      <c r="A113">
        <v>737</v>
      </c>
      <c r="B113" t="s">
        <v>793</v>
      </c>
      <c r="C113" t="s">
        <v>88</v>
      </c>
    </row>
    <row r="114" spans="1:3" x14ac:dyDescent="0.25">
      <c r="A114">
        <v>742</v>
      </c>
      <c r="B114" t="s">
        <v>793</v>
      </c>
      <c r="C114" t="s">
        <v>1121</v>
      </c>
    </row>
    <row r="115" spans="1:3" x14ac:dyDescent="0.25">
      <c r="A115">
        <v>743</v>
      </c>
      <c r="B115" t="s">
        <v>793</v>
      </c>
      <c r="C115" t="s">
        <v>91</v>
      </c>
    </row>
    <row r="116" spans="1:3" x14ac:dyDescent="0.25">
      <c r="A116">
        <v>744</v>
      </c>
      <c r="B116" t="s">
        <v>793</v>
      </c>
      <c r="C116" t="s">
        <v>1122</v>
      </c>
    </row>
    <row r="117" spans="1:3" x14ac:dyDescent="0.25">
      <c r="A117">
        <v>745</v>
      </c>
      <c r="B117" t="s">
        <v>793</v>
      </c>
      <c r="C117" t="s">
        <v>92</v>
      </c>
    </row>
    <row r="118" spans="1:3" x14ac:dyDescent="0.25">
      <c r="A118">
        <v>747</v>
      </c>
      <c r="B118" t="s">
        <v>814</v>
      </c>
      <c r="C118" t="s">
        <v>185</v>
      </c>
    </row>
    <row r="119" spans="1:3" x14ac:dyDescent="0.25">
      <c r="A119">
        <v>748</v>
      </c>
      <c r="B119" t="s">
        <v>814</v>
      </c>
      <c r="C119" t="s">
        <v>83</v>
      </c>
    </row>
    <row r="120" spans="1:3" x14ac:dyDescent="0.25">
      <c r="A120">
        <v>749</v>
      </c>
      <c r="B120" t="s">
        <v>814</v>
      </c>
      <c r="C120" t="s">
        <v>187</v>
      </c>
    </row>
    <row r="121" spans="1:3" x14ac:dyDescent="0.25">
      <c r="A121">
        <v>750</v>
      </c>
      <c r="B121" t="s">
        <v>814</v>
      </c>
      <c r="C121" t="s">
        <v>84</v>
      </c>
    </row>
    <row r="122" spans="1:3" x14ac:dyDescent="0.25">
      <c r="A122">
        <v>751</v>
      </c>
      <c r="B122" t="s">
        <v>814</v>
      </c>
      <c r="C122" t="s">
        <v>189</v>
      </c>
    </row>
    <row r="123" spans="1:3" x14ac:dyDescent="0.25">
      <c r="A123">
        <v>752</v>
      </c>
      <c r="B123" t="s">
        <v>814</v>
      </c>
      <c r="C123" t="s">
        <v>116</v>
      </c>
    </row>
    <row r="124" spans="1:3" x14ac:dyDescent="0.25">
      <c r="A124">
        <v>766</v>
      </c>
      <c r="B124" t="s">
        <v>814</v>
      </c>
      <c r="C124" t="s">
        <v>92</v>
      </c>
    </row>
    <row r="125" spans="1:3" x14ac:dyDescent="0.25">
      <c r="A125">
        <v>7</v>
      </c>
      <c r="B125" t="s">
        <v>183</v>
      </c>
      <c r="C125" t="s">
        <v>55</v>
      </c>
    </row>
    <row r="126" spans="1:3" x14ac:dyDescent="0.25">
      <c r="A126">
        <v>766</v>
      </c>
      <c r="B126" t="s">
        <v>821</v>
      </c>
      <c r="C126" t="s">
        <v>92</v>
      </c>
    </row>
    <row r="127" spans="1:3" x14ac:dyDescent="0.25">
      <c r="A127">
        <v>7</v>
      </c>
      <c r="B127" t="s">
        <v>183</v>
      </c>
      <c r="C127" t="s">
        <v>55</v>
      </c>
    </row>
    <row r="128" spans="1:3" x14ac:dyDescent="0.25">
      <c r="A128">
        <v>77</v>
      </c>
      <c r="B128" t="s">
        <v>556</v>
      </c>
      <c r="C128" t="s">
        <v>1141</v>
      </c>
    </row>
    <row r="129" spans="1:3" x14ac:dyDescent="0.25">
      <c r="A129">
        <v>78</v>
      </c>
      <c r="B129" t="s">
        <v>557</v>
      </c>
      <c r="C129" t="s">
        <v>1140</v>
      </c>
    </row>
    <row r="130" spans="1:3" x14ac:dyDescent="0.25">
      <c r="A130">
        <v>79</v>
      </c>
      <c r="B130" t="s">
        <v>233</v>
      </c>
      <c r="C130" t="s">
        <v>1186</v>
      </c>
    </row>
    <row r="131" spans="1:3" x14ac:dyDescent="0.25">
      <c r="A131">
        <v>1618</v>
      </c>
      <c r="B131" t="s">
        <v>234</v>
      </c>
      <c r="C131" t="s">
        <v>1182</v>
      </c>
    </row>
    <row r="132" spans="1:3" x14ac:dyDescent="0.25">
      <c r="A132">
        <v>80</v>
      </c>
      <c r="B132" t="s">
        <v>558</v>
      </c>
      <c r="C132" t="s">
        <v>1187</v>
      </c>
    </row>
    <row r="133" spans="1:3" x14ac:dyDescent="0.25">
      <c r="A133">
        <v>81</v>
      </c>
      <c r="B133" t="s">
        <v>559</v>
      </c>
      <c r="C133" t="s">
        <v>1164</v>
      </c>
    </row>
    <row r="134" spans="1:3" x14ac:dyDescent="0.25">
      <c r="A134">
        <v>566</v>
      </c>
      <c r="B134" t="s">
        <v>560</v>
      </c>
      <c r="C134" t="s">
        <v>185</v>
      </c>
    </row>
    <row r="135" spans="1:3" x14ac:dyDescent="0.25">
      <c r="A135">
        <v>567</v>
      </c>
      <c r="B135" t="s">
        <v>561</v>
      </c>
      <c r="C135" t="s">
        <v>1123</v>
      </c>
    </row>
    <row r="136" spans="1:3" x14ac:dyDescent="0.25">
      <c r="A136">
        <v>568</v>
      </c>
      <c r="B136" t="s">
        <v>562</v>
      </c>
      <c r="C136" t="s">
        <v>187</v>
      </c>
    </row>
    <row r="137" spans="1:3" x14ac:dyDescent="0.25">
      <c r="A137">
        <v>569</v>
      </c>
      <c r="B137" t="s">
        <v>563</v>
      </c>
      <c r="C137" t="s">
        <v>1124</v>
      </c>
    </row>
    <row r="138" spans="1:3" x14ac:dyDescent="0.25">
      <c r="A138">
        <v>570</v>
      </c>
      <c r="B138" t="s">
        <v>564</v>
      </c>
      <c r="C138" t="s">
        <v>189</v>
      </c>
    </row>
    <row r="139" spans="1:3" x14ac:dyDescent="0.25">
      <c r="A139">
        <v>571</v>
      </c>
      <c r="B139" t="s">
        <v>565</v>
      </c>
      <c r="C139" t="s">
        <v>198</v>
      </c>
    </row>
    <row r="140" spans="1:3" x14ac:dyDescent="0.25">
      <c r="A140">
        <v>572</v>
      </c>
      <c r="B140" t="s">
        <v>566</v>
      </c>
      <c r="C140" t="s">
        <v>56</v>
      </c>
    </row>
    <row r="141" spans="1:3" x14ac:dyDescent="0.25">
      <c r="A141">
        <v>573</v>
      </c>
      <c r="B141" t="s">
        <v>567</v>
      </c>
      <c r="C141" t="s">
        <v>1125</v>
      </c>
    </row>
    <row r="142" spans="1:3" x14ac:dyDescent="0.25">
      <c r="A142">
        <v>574</v>
      </c>
      <c r="B142" t="s">
        <v>568</v>
      </c>
      <c r="C142" t="s">
        <v>1118</v>
      </c>
    </row>
    <row r="143" spans="1:3" x14ac:dyDescent="0.25">
      <c r="A143">
        <v>575</v>
      </c>
      <c r="B143" t="s">
        <v>569</v>
      </c>
      <c r="C143" t="s">
        <v>1126</v>
      </c>
    </row>
    <row r="144" spans="1:3" x14ac:dyDescent="0.25">
      <c r="A144">
        <v>576</v>
      </c>
      <c r="B144" t="s">
        <v>570</v>
      </c>
      <c r="C144" t="s">
        <v>192</v>
      </c>
    </row>
    <row r="145" spans="1:3" x14ac:dyDescent="0.25">
      <c r="A145">
        <v>577</v>
      </c>
      <c r="B145" t="s">
        <v>571</v>
      </c>
      <c r="C145" t="s">
        <v>1127</v>
      </c>
    </row>
    <row r="146" spans="1:3" x14ac:dyDescent="0.25">
      <c r="A146">
        <v>578</v>
      </c>
      <c r="B146" t="s">
        <v>572</v>
      </c>
      <c r="C146" t="s">
        <v>1119</v>
      </c>
    </row>
    <row r="147" spans="1:3" x14ac:dyDescent="0.25">
      <c r="A147">
        <v>579</v>
      </c>
      <c r="B147" t="s">
        <v>573</v>
      </c>
      <c r="C147" t="s">
        <v>1128</v>
      </c>
    </row>
    <row r="148" spans="1:3" x14ac:dyDescent="0.25">
      <c r="A148">
        <v>580</v>
      </c>
      <c r="B148" t="s">
        <v>574</v>
      </c>
      <c r="C148" t="s">
        <v>1188</v>
      </c>
    </row>
    <row r="149" spans="1:3" x14ac:dyDescent="0.25">
      <c r="A149">
        <v>581</v>
      </c>
      <c r="B149" t="s">
        <v>575</v>
      </c>
      <c r="C149" t="s">
        <v>1189</v>
      </c>
    </row>
    <row r="150" spans="1:3" x14ac:dyDescent="0.25">
      <c r="A150">
        <v>582</v>
      </c>
      <c r="B150" t="s">
        <v>576</v>
      </c>
      <c r="C150" t="s">
        <v>1121</v>
      </c>
    </row>
    <row r="151" spans="1:3" x14ac:dyDescent="0.25">
      <c r="A151">
        <v>583</v>
      </c>
      <c r="B151" t="s">
        <v>577</v>
      </c>
      <c r="C151" t="s">
        <v>1130</v>
      </c>
    </row>
    <row r="152" spans="1:3" x14ac:dyDescent="0.25">
      <c r="A152">
        <v>584</v>
      </c>
      <c r="B152" t="s">
        <v>578</v>
      </c>
      <c r="C152" t="s">
        <v>1122</v>
      </c>
    </row>
    <row r="153" spans="1:3" x14ac:dyDescent="0.25">
      <c r="A153">
        <v>585</v>
      </c>
      <c r="B153" t="s">
        <v>579</v>
      </c>
      <c r="C153" t="s">
        <v>1190</v>
      </c>
    </row>
    <row r="154" spans="1:3" x14ac:dyDescent="0.25">
      <c r="A154">
        <v>82</v>
      </c>
      <c r="B154" t="s">
        <v>580</v>
      </c>
      <c r="C154" t="s">
        <v>1191</v>
      </c>
    </row>
    <row r="155" spans="1:3" x14ac:dyDescent="0.25">
      <c r="A155">
        <v>586</v>
      </c>
      <c r="B155" t="s">
        <v>581</v>
      </c>
      <c r="C155" t="s">
        <v>227</v>
      </c>
    </row>
    <row r="156" spans="1:3" x14ac:dyDescent="0.25">
      <c r="A156">
        <v>84</v>
      </c>
      <c r="B156" t="s">
        <v>583</v>
      </c>
      <c r="C156" t="s">
        <v>1194</v>
      </c>
    </row>
    <row r="157" spans="1:3" x14ac:dyDescent="0.25">
      <c r="A157">
        <v>85</v>
      </c>
      <c r="B157" t="s">
        <v>584</v>
      </c>
      <c r="C157" t="s">
        <v>1195</v>
      </c>
    </row>
    <row r="158" spans="1:3" x14ac:dyDescent="0.25">
      <c r="A158">
        <v>86</v>
      </c>
      <c r="B158" t="s">
        <v>585</v>
      </c>
      <c r="C158" t="s">
        <v>1196</v>
      </c>
    </row>
    <row r="159" spans="1:3" x14ac:dyDescent="0.25">
      <c r="A159">
        <v>89</v>
      </c>
      <c r="B159" t="s">
        <v>587</v>
      </c>
      <c r="C159" t="s">
        <v>1197</v>
      </c>
    </row>
    <row r="160" spans="1:3" x14ac:dyDescent="0.25">
      <c r="A160">
        <v>1630</v>
      </c>
      <c r="B160" t="s">
        <v>588</v>
      </c>
      <c r="C160" t="s">
        <v>1198</v>
      </c>
    </row>
    <row r="161" spans="1:3" x14ac:dyDescent="0.25">
      <c r="A161">
        <v>90</v>
      </c>
      <c r="B161" t="s">
        <v>588</v>
      </c>
      <c r="C161" t="s">
        <v>1199</v>
      </c>
    </row>
    <row r="162" spans="1:3" x14ac:dyDescent="0.25">
      <c r="A162">
        <v>91</v>
      </c>
      <c r="B162" t="s">
        <v>589</v>
      </c>
      <c r="C162" t="s">
        <v>1200</v>
      </c>
    </row>
    <row r="163" spans="1:3" x14ac:dyDescent="0.25">
      <c r="A163">
        <v>92</v>
      </c>
      <c r="B163" t="s">
        <v>590</v>
      </c>
      <c r="C163" t="s">
        <v>235</v>
      </c>
    </row>
    <row r="164" spans="1:3" x14ac:dyDescent="0.25">
      <c r="A164">
        <v>93</v>
      </c>
      <c r="B164" t="s">
        <v>591</v>
      </c>
      <c r="C164" t="s">
        <v>1201</v>
      </c>
    </row>
    <row r="165" spans="1:3" x14ac:dyDescent="0.25">
      <c r="A165">
        <v>94</v>
      </c>
      <c r="B165" t="s">
        <v>592</v>
      </c>
      <c r="C165" t="s">
        <v>1202</v>
      </c>
    </row>
    <row r="166" spans="1:3" x14ac:dyDescent="0.25">
      <c r="A166">
        <v>95</v>
      </c>
      <c r="B166" t="s">
        <v>593</v>
      </c>
      <c r="C166" t="s">
        <v>1203</v>
      </c>
    </row>
    <row r="167" spans="1:3" x14ac:dyDescent="0.25">
      <c r="A167">
        <v>96</v>
      </c>
      <c r="B167" t="s">
        <v>594</v>
      </c>
      <c r="C167" t="s">
        <v>1204</v>
      </c>
    </row>
    <row r="168" spans="1:3" x14ac:dyDescent="0.25">
      <c r="A168">
        <v>97</v>
      </c>
      <c r="B168" t="s">
        <v>595</v>
      </c>
      <c r="C168" t="s">
        <v>1205</v>
      </c>
    </row>
    <row r="169" spans="1:3" x14ac:dyDescent="0.25">
      <c r="A169">
        <v>99</v>
      </c>
      <c r="B169" t="s">
        <v>597</v>
      </c>
      <c r="C169" t="s">
        <v>1207</v>
      </c>
    </row>
    <row r="170" spans="1:3" x14ac:dyDescent="0.25">
      <c r="A170">
        <v>100</v>
      </c>
      <c r="B170" t="s">
        <v>598</v>
      </c>
      <c r="C170" t="s">
        <v>1208</v>
      </c>
    </row>
    <row r="171" spans="1:3" x14ac:dyDescent="0.25">
      <c r="A171">
        <v>101</v>
      </c>
      <c r="B171" t="s">
        <v>599</v>
      </c>
      <c r="C171" t="s">
        <v>1209</v>
      </c>
    </row>
    <row r="172" spans="1:3" x14ac:dyDescent="0.25">
      <c r="A172">
        <v>102</v>
      </c>
      <c r="B172" t="s">
        <v>600</v>
      </c>
      <c r="C172" t="s">
        <v>1210</v>
      </c>
    </row>
    <row r="173" spans="1:3" x14ac:dyDescent="0.25">
      <c r="A173">
        <v>103</v>
      </c>
      <c r="B173" t="s">
        <v>601</v>
      </c>
      <c r="C173" t="s">
        <v>1211</v>
      </c>
    </row>
    <row r="174" spans="1:3" x14ac:dyDescent="0.25">
      <c r="A174">
        <v>104</v>
      </c>
      <c r="B174" t="s">
        <v>602</v>
      </c>
      <c r="C174" t="s">
        <v>1212</v>
      </c>
    </row>
    <row r="175" spans="1:3" x14ac:dyDescent="0.25">
      <c r="A175">
        <v>105</v>
      </c>
      <c r="B175" t="s">
        <v>603</v>
      </c>
      <c r="C175" t="s">
        <v>1213</v>
      </c>
    </row>
    <row r="176" spans="1:3" x14ac:dyDescent="0.25">
      <c r="A176">
        <v>106</v>
      </c>
      <c r="B176" t="s">
        <v>604</v>
      </c>
      <c r="C176" t="s">
        <v>1214</v>
      </c>
    </row>
    <row r="177" spans="1:3" x14ac:dyDescent="0.25">
      <c r="A177">
        <v>107</v>
      </c>
      <c r="B177" t="s">
        <v>605</v>
      </c>
      <c r="C177" t="s">
        <v>1215</v>
      </c>
    </row>
    <row r="178" spans="1:3" x14ac:dyDescent="0.25">
      <c r="A178">
        <v>108</v>
      </c>
      <c r="B178" t="s">
        <v>606</v>
      </c>
      <c r="C178" t="s">
        <v>1216</v>
      </c>
    </row>
    <row r="179" spans="1:3" x14ac:dyDescent="0.25">
      <c r="A179">
        <v>109</v>
      </c>
      <c r="B179" t="s">
        <v>607</v>
      </c>
      <c r="C179" t="s">
        <v>1217</v>
      </c>
    </row>
    <row r="180" spans="1:3" x14ac:dyDescent="0.25">
      <c r="A180">
        <v>110</v>
      </c>
      <c r="B180" t="s">
        <v>608</v>
      </c>
      <c r="C180" t="s">
        <v>1218</v>
      </c>
    </row>
    <row r="181" spans="1:3" x14ac:dyDescent="0.25">
      <c r="A181">
        <v>111</v>
      </c>
      <c r="B181" t="s">
        <v>236</v>
      </c>
      <c r="C181" t="s">
        <v>73</v>
      </c>
    </row>
    <row r="182" spans="1:3" x14ac:dyDescent="0.25">
      <c r="A182">
        <v>114</v>
      </c>
      <c r="B182" t="s">
        <v>611</v>
      </c>
      <c r="C182" t="s">
        <v>1221</v>
      </c>
    </row>
    <row r="183" spans="1:3" x14ac:dyDescent="0.25">
      <c r="A183">
        <v>588</v>
      </c>
      <c r="B183" t="s">
        <v>612</v>
      </c>
      <c r="C183" t="s">
        <v>164</v>
      </c>
    </row>
    <row r="184" spans="1:3" x14ac:dyDescent="0.25">
      <c r="A184">
        <v>589</v>
      </c>
      <c r="B184" t="s">
        <v>238</v>
      </c>
      <c r="C184" t="s">
        <v>239</v>
      </c>
    </row>
    <row r="185" spans="1:3" x14ac:dyDescent="0.25">
      <c r="A185">
        <v>1059</v>
      </c>
      <c r="B185" t="s">
        <v>241</v>
      </c>
      <c r="C185" t="s">
        <v>253</v>
      </c>
    </row>
    <row r="186" spans="1:3" x14ac:dyDescent="0.25">
      <c r="A186">
        <v>117</v>
      </c>
      <c r="B186" t="s">
        <v>242</v>
      </c>
      <c r="C186" t="s">
        <v>243</v>
      </c>
    </row>
    <row r="187" spans="1:3" x14ac:dyDescent="0.25">
      <c r="A187">
        <v>590</v>
      </c>
      <c r="B187" t="s">
        <v>244</v>
      </c>
      <c r="C187" t="s">
        <v>245</v>
      </c>
    </row>
    <row r="188" spans="1:3" x14ac:dyDescent="0.25">
      <c r="A188">
        <v>592</v>
      </c>
      <c r="B188" t="s">
        <v>247</v>
      </c>
      <c r="C188" t="s">
        <v>248</v>
      </c>
    </row>
    <row r="189" spans="1:3" x14ac:dyDescent="0.25">
      <c r="A189">
        <v>593</v>
      </c>
      <c r="B189" t="s">
        <v>613</v>
      </c>
      <c r="C189" t="s">
        <v>1222</v>
      </c>
    </row>
    <row r="190" spans="1:3" x14ac:dyDescent="0.25">
      <c r="A190">
        <v>1003</v>
      </c>
      <c r="B190" t="s">
        <v>249</v>
      </c>
      <c r="C190" t="s">
        <v>250</v>
      </c>
    </row>
    <row r="191" spans="1:3" x14ac:dyDescent="0.25">
      <c r="A191">
        <v>1058</v>
      </c>
      <c r="B191" t="s">
        <v>251</v>
      </c>
      <c r="C191" t="s">
        <v>252</v>
      </c>
    </row>
    <row r="192" spans="1:3" x14ac:dyDescent="0.25">
      <c r="A192">
        <v>118</v>
      </c>
      <c r="B192" t="s">
        <v>614</v>
      </c>
      <c r="C192" t="s">
        <v>1223</v>
      </c>
    </row>
    <row r="193" spans="1:3" x14ac:dyDescent="0.25">
      <c r="A193">
        <v>119</v>
      </c>
      <c r="B193" t="s">
        <v>615</v>
      </c>
      <c r="C193" t="s">
        <v>1224</v>
      </c>
    </row>
    <row r="194" spans="1:3" x14ac:dyDescent="0.25">
      <c r="A194">
        <v>122</v>
      </c>
      <c r="B194" t="s">
        <v>618</v>
      </c>
      <c r="C194" t="s">
        <v>1226</v>
      </c>
    </row>
    <row r="195" spans="1:3" x14ac:dyDescent="0.25">
      <c r="A195">
        <v>124</v>
      </c>
      <c r="B195" t="s">
        <v>619</v>
      </c>
      <c r="C195" t="s">
        <v>1227</v>
      </c>
    </row>
    <row r="196" spans="1:3" x14ac:dyDescent="0.25">
      <c r="A196">
        <v>125</v>
      </c>
      <c r="B196" t="s">
        <v>255</v>
      </c>
      <c r="C196" t="s">
        <v>77</v>
      </c>
    </row>
    <row r="197" spans="1:3" x14ac:dyDescent="0.25">
      <c r="A197">
        <v>1063</v>
      </c>
      <c r="B197" t="s">
        <v>621</v>
      </c>
      <c r="C197" t="s">
        <v>267</v>
      </c>
    </row>
    <row r="198" spans="1:3" x14ac:dyDescent="0.25">
      <c r="A198">
        <v>127</v>
      </c>
      <c r="B198" t="s">
        <v>256</v>
      </c>
      <c r="C198" t="s">
        <v>257</v>
      </c>
    </row>
    <row r="199" spans="1:3" x14ac:dyDescent="0.25">
      <c r="A199">
        <v>128</v>
      </c>
      <c r="B199" t="s">
        <v>258</v>
      </c>
      <c r="C199" t="s">
        <v>259</v>
      </c>
    </row>
    <row r="200" spans="1:3" x14ac:dyDescent="0.25">
      <c r="A200">
        <v>129</v>
      </c>
      <c r="B200" t="s">
        <v>260</v>
      </c>
      <c r="C200" t="s">
        <v>162</v>
      </c>
    </row>
    <row r="201" spans="1:3" x14ac:dyDescent="0.25">
      <c r="A201">
        <v>131</v>
      </c>
      <c r="B201" t="s">
        <v>262</v>
      </c>
      <c r="C201" t="s">
        <v>1229</v>
      </c>
    </row>
    <row r="202" spans="1:3" x14ac:dyDescent="0.25">
      <c r="A202">
        <v>594</v>
      </c>
      <c r="B202" t="s">
        <v>622</v>
      </c>
      <c r="C202" t="s">
        <v>1222</v>
      </c>
    </row>
    <row r="203" spans="1:3" x14ac:dyDescent="0.25">
      <c r="A203">
        <v>1061</v>
      </c>
      <c r="B203" t="s">
        <v>263</v>
      </c>
      <c r="C203" t="s">
        <v>264</v>
      </c>
    </row>
    <row r="204" spans="1:3" x14ac:dyDescent="0.25">
      <c r="A204">
        <v>1062</v>
      </c>
      <c r="B204" t="s">
        <v>265</v>
      </c>
      <c r="C204" t="s">
        <v>266</v>
      </c>
    </row>
    <row r="205" spans="1:3" x14ac:dyDescent="0.25">
      <c r="A205">
        <v>595</v>
      </c>
      <c r="B205" t="s">
        <v>623</v>
      </c>
      <c r="C205" t="s">
        <v>1230</v>
      </c>
    </row>
    <row r="206" spans="1:3" x14ac:dyDescent="0.25">
      <c r="A206">
        <v>596</v>
      </c>
      <c r="B206" t="s">
        <v>624</v>
      </c>
      <c r="C206" t="s">
        <v>1231</v>
      </c>
    </row>
    <row r="207" spans="1:3" x14ac:dyDescent="0.25">
      <c r="A207">
        <v>597</v>
      </c>
      <c r="B207" t="s">
        <v>625</v>
      </c>
      <c r="C207" t="s">
        <v>1232</v>
      </c>
    </row>
    <row r="208" spans="1:3" x14ac:dyDescent="0.25">
      <c r="A208">
        <v>599</v>
      </c>
      <c r="B208" t="s">
        <v>627</v>
      </c>
      <c r="C208" t="s">
        <v>248</v>
      </c>
    </row>
    <row r="209" spans="1:3" x14ac:dyDescent="0.25">
      <c r="A209">
        <v>600</v>
      </c>
      <c r="B209" t="s">
        <v>628</v>
      </c>
      <c r="C209" t="s">
        <v>1222</v>
      </c>
    </row>
    <row r="210" spans="1:3" x14ac:dyDescent="0.25">
      <c r="A210">
        <v>601</v>
      </c>
      <c r="B210" t="s">
        <v>629</v>
      </c>
      <c r="C210" t="s">
        <v>1233</v>
      </c>
    </row>
    <row r="211" spans="1:3" x14ac:dyDescent="0.25">
      <c r="A211">
        <v>602</v>
      </c>
      <c r="B211" t="s">
        <v>630</v>
      </c>
      <c r="C211" t="s">
        <v>1234</v>
      </c>
    </row>
    <row r="212" spans="1:3" x14ac:dyDescent="0.25">
      <c r="A212">
        <v>603</v>
      </c>
      <c r="B212" t="s">
        <v>631</v>
      </c>
      <c r="C212" t="s">
        <v>1235</v>
      </c>
    </row>
    <row r="213" spans="1:3" x14ac:dyDescent="0.25">
      <c r="A213">
        <v>605</v>
      </c>
      <c r="B213" t="s">
        <v>633</v>
      </c>
      <c r="C213" t="s">
        <v>1222</v>
      </c>
    </row>
    <row r="214" spans="1:3" x14ac:dyDescent="0.25">
      <c r="A214">
        <v>502</v>
      </c>
      <c r="B214" t="s">
        <v>268</v>
      </c>
      <c r="C214" t="s">
        <v>78</v>
      </c>
    </row>
    <row r="215" spans="1:3" x14ac:dyDescent="0.25">
      <c r="A215">
        <v>123</v>
      </c>
      <c r="B215" t="s">
        <v>269</v>
      </c>
      <c r="C215" t="s">
        <v>270</v>
      </c>
    </row>
    <row r="216" spans="1:3" x14ac:dyDescent="0.25">
      <c r="A216">
        <v>607</v>
      </c>
      <c r="B216" t="s">
        <v>271</v>
      </c>
      <c r="C216" t="s">
        <v>272</v>
      </c>
    </row>
    <row r="217" spans="1:3" x14ac:dyDescent="0.25">
      <c r="A217">
        <v>608</v>
      </c>
      <c r="B217" t="s">
        <v>635</v>
      </c>
      <c r="C217" t="s">
        <v>1237</v>
      </c>
    </row>
    <row r="218" spans="1:3" x14ac:dyDescent="0.25">
      <c r="A218">
        <v>610</v>
      </c>
      <c r="B218" t="s">
        <v>273</v>
      </c>
      <c r="C218" t="s">
        <v>274</v>
      </c>
    </row>
    <row r="219" spans="1:3" x14ac:dyDescent="0.25">
      <c r="A219">
        <v>611</v>
      </c>
      <c r="B219" t="s">
        <v>637</v>
      </c>
      <c r="C219" t="s">
        <v>1239</v>
      </c>
    </row>
    <row r="220" spans="1:3" x14ac:dyDescent="0.25">
      <c r="A220">
        <v>612</v>
      </c>
      <c r="B220" t="s">
        <v>275</v>
      </c>
      <c r="C220" t="s">
        <v>276</v>
      </c>
    </row>
    <row r="221" spans="1:3" x14ac:dyDescent="0.25">
      <c r="A221">
        <v>613</v>
      </c>
      <c r="B221" t="s">
        <v>277</v>
      </c>
      <c r="C221" t="s">
        <v>278</v>
      </c>
    </row>
    <row r="222" spans="1:3" x14ac:dyDescent="0.25">
      <c r="A222">
        <v>614</v>
      </c>
      <c r="B222" t="s">
        <v>279</v>
      </c>
      <c r="C222" t="s">
        <v>272</v>
      </c>
    </row>
    <row r="223" spans="1:3" x14ac:dyDescent="0.25">
      <c r="A223">
        <v>615</v>
      </c>
      <c r="B223" t="s">
        <v>638</v>
      </c>
      <c r="C223" t="s">
        <v>1240</v>
      </c>
    </row>
    <row r="224" spans="1:3" x14ac:dyDescent="0.25">
      <c r="A224">
        <v>616</v>
      </c>
      <c r="B224" t="s">
        <v>639</v>
      </c>
      <c r="C224" t="s">
        <v>357</v>
      </c>
    </row>
    <row r="225" spans="1:3" x14ac:dyDescent="0.25">
      <c r="A225">
        <v>617</v>
      </c>
      <c r="B225" t="s">
        <v>640</v>
      </c>
      <c r="C225" t="s">
        <v>357</v>
      </c>
    </row>
    <row r="226" spans="1:3" x14ac:dyDescent="0.25">
      <c r="A226">
        <v>618</v>
      </c>
      <c r="B226" t="s">
        <v>641</v>
      </c>
      <c r="C226" t="s">
        <v>360</v>
      </c>
    </row>
    <row r="227" spans="1:3" x14ac:dyDescent="0.25">
      <c r="A227">
        <v>149</v>
      </c>
      <c r="B227">
        <v>2</v>
      </c>
      <c r="C227" t="s">
        <v>79</v>
      </c>
    </row>
    <row r="228" spans="1:3" x14ac:dyDescent="0.25">
      <c r="A228">
        <v>150</v>
      </c>
      <c r="B228">
        <v>2.1</v>
      </c>
      <c r="C228" t="s">
        <v>80</v>
      </c>
    </row>
    <row r="229" spans="1:3" x14ac:dyDescent="0.25">
      <c r="A229">
        <v>1833</v>
      </c>
      <c r="B229" t="s">
        <v>284</v>
      </c>
      <c r="C229" t="s">
        <v>1241</v>
      </c>
    </row>
    <row r="230" spans="1:3" x14ac:dyDescent="0.25">
      <c r="A230">
        <v>1881</v>
      </c>
      <c r="B230" t="s">
        <v>284</v>
      </c>
      <c r="C230" t="s">
        <v>1242</v>
      </c>
    </row>
    <row r="231" spans="1:3" x14ac:dyDescent="0.25">
      <c r="A231">
        <v>1796</v>
      </c>
      <c r="B231" t="s">
        <v>284</v>
      </c>
      <c r="C231" t="s">
        <v>1243</v>
      </c>
    </row>
    <row r="232" spans="1:3" x14ac:dyDescent="0.25">
      <c r="A232">
        <v>1701</v>
      </c>
      <c r="B232" t="s">
        <v>284</v>
      </c>
      <c r="C232" t="s">
        <v>1244</v>
      </c>
    </row>
    <row r="233" spans="1:3" x14ac:dyDescent="0.25">
      <c r="A233">
        <v>1641</v>
      </c>
      <c r="B233" t="s">
        <v>284</v>
      </c>
      <c r="C233" t="s">
        <v>1245</v>
      </c>
    </row>
    <row r="234" spans="1:3" x14ac:dyDescent="0.25">
      <c r="A234">
        <v>1681</v>
      </c>
      <c r="B234" t="s">
        <v>284</v>
      </c>
      <c r="C234" t="s">
        <v>1245</v>
      </c>
    </row>
    <row r="235" spans="1:3" x14ac:dyDescent="0.25">
      <c r="A235">
        <v>1827</v>
      </c>
      <c r="B235" t="s">
        <v>284</v>
      </c>
      <c r="C235" t="s">
        <v>1246</v>
      </c>
    </row>
    <row r="236" spans="1:3" x14ac:dyDescent="0.25">
      <c r="A236">
        <v>1883</v>
      </c>
      <c r="B236" t="s">
        <v>284</v>
      </c>
      <c r="C236" t="s">
        <v>1247</v>
      </c>
    </row>
    <row r="237" spans="1:3" x14ac:dyDescent="0.25">
      <c r="A237">
        <v>1831</v>
      </c>
      <c r="B237" t="s">
        <v>284</v>
      </c>
      <c r="C237" t="s">
        <v>1248</v>
      </c>
    </row>
    <row r="238" spans="1:3" x14ac:dyDescent="0.25">
      <c r="A238">
        <v>1927</v>
      </c>
      <c r="B238" t="s">
        <v>284</v>
      </c>
      <c r="C238" t="s">
        <v>1249</v>
      </c>
    </row>
    <row r="239" spans="1:3" x14ac:dyDescent="0.25">
      <c r="A239">
        <v>1642</v>
      </c>
      <c r="B239" t="s">
        <v>284</v>
      </c>
      <c r="C239" t="s">
        <v>1250</v>
      </c>
    </row>
    <row r="240" spans="1:3" x14ac:dyDescent="0.25">
      <c r="A240">
        <v>1915</v>
      </c>
      <c r="B240" t="s">
        <v>284</v>
      </c>
      <c r="C240" t="s">
        <v>1251</v>
      </c>
    </row>
    <row r="241" spans="1:3" x14ac:dyDescent="0.25">
      <c r="A241">
        <v>1801</v>
      </c>
      <c r="B241" t="s">
        <v>284</v>
      </c>
      <c r="C241" t="s">
        <v>1252</v>
      </c>
    </row>
    <row r="242" spans="1:3" x14ac:dyDescent="0.25">
      <c r="A242">
        <v>1821</v>
      </c>
      <c r="B242" t="s">
        <v>284</v>
      </c>
      <c r="C242" t="s">
        <v>1253</v>
      </c>
    </row>
    <row r="243" spans="1:3" x14ac:dyDescent="0.25">
      <c r="A243">
        <v>1829</v>
      </c>
      <c r="B243" t="s">
        <v>284</v>
      </c>
      <c r="C243" t="s">
        <v>1254</v>
      </c>
    </row>
    <row r="244" spans="1:3" x14ac:dyDescent="0.25">
      <c r="A244">
        <v>1902</v>
      </c>
      <c r="B244" t="s">
        <v>284</v>
      </c>
      <c r="C244" t="s">
        <v>1255</v>
      </c>
    </row>
    <row r="245" spans="1:3" x14ac:dyDescent="0.25">
      <c r="A245">
        <v>1771</v>
      </c>
      <c r="B245" t="s">
        <v>284</v>
      </c>
      <c r="C245" t="s">
        <v>1256</v>
      </c>
    </row>
    <row r="246" spans="1:3" x14ac:dyDescent="0.25">
      <c r="A246">
        <v>1764</v>
      </c>
      <c r="B246" t="s">
        <v>284</v>
      </c>
      <c r="C246" t="s">
        <v>1257</v>
      </c>
    </row>
    <row r="247" spans="1:3" x14ac:dyDescent="0.25">
      <c r="A247">
        <v>1808</v>
      </c>
      <c r="B247" t="s">
        <v>284</v>
      </c>
      <c r="C247" t="s">
        <v>1258</v>
      </c>
    </row>
    <row r="248" spans="1:3" x14ac:dyDescent="0.25">
      <c r="A248">
        <v>1747</v>
      </c>
      <c r="B248" t="s">
        <v>284</v>
      </c>
      <c r="C248" t="s">
        <v>1259</v>
      </c>
    </row>
    <row r="249" spans="1:3" x14ac:dyDescent="0.25">
      <c r="A249">
        <v>1920</v>
      </c>
      <c r="B249" t="s">
        <v>284</v>
      </c>
      <c r="C249" t="s">
        <v>1260</v>
      </c>
    </row>
    <row r="250" spans="1:3" x14ac:dyDescent="0.25">
      <c r="A250">
        <v>1781</v>
      </c>
      <c r="B250" t="s">
        <v>284</v>
      </c>
      <c r="C250" t="s">
        <v>1261</v>
      </c>
    </row>
    <row r="251" spans="1:3" x14ac:dyDescent="0.25">
      <c r="A251">
        <v>1738</v>
      </c>
      <c r="B251" t="s">
        <v>284</v>
      </c>
      <c r="C251" t="s">
        <v>1262</v>
      </c>
    </row>
    <row r="252" spans="1:3" x14ac:dyDescent="0.25">
      <c r="A252">
        <v>1734</v>
      </c>
      <c r="B252" t="s">
        <v>284</v>
      </c>
      <c r="C252" t="s">
        <v>1263</v>
      </c>
    </row>
    <row r="253" spans="1:3" x14ac:dyDescent="0.25">
      <c r="A253">
        <v>1643</v>
      </c>
      <c r="B253" t="s">
        <v>284</v>
      </c>
      <c r="C253" t="s">
        <v>1264</v>
      </c>
    </row>
    <row r="254" spans="1:3" x14ac:dyDescent="0.25">
      <c r="A254">
        <v>1891</v>
      </c>
      <c r="B254" t="s">
        <v>284</v>
      </c>
      <c r="C254" t="s">
        <v>1265</v>
      </c>
    </row>
    <row r="255" spans="1:3" x14ac:dyDescent="0.25">
      <c r="A255">
        <v>1849</v>
      </c>
      <c r="B255" t="s">
        <v>284</v>
      </c>
      <c r="C255" t="s">
        <v>1266</v>
      </c>
    </row>
    <row r="256" spans="1:3" x14ac:dyDescent="0.25">
      <c r="A256">
        <v>1644</v>
      </c>
      <c r="B256" t="s">
        <v>284</v>
      </c>
      <c r="C256" t="s">
        <v>1267</v>
      </c>
    </row>
    <row r="257" spans="1:3" x14ac:dyDescent="0.25">
      <c r="A257">
        <v>1848</v>
      </c>
      <c r="B257" t="s">
        <v>284</v>
      </c>
      <c r="C257" t="s">
        <v>1268</v>
      </c>
    </row>
    <row r="258" spans="1:3" x14ac:dyDescent="0.25">
      <c r="A258">
        <v>1645</v>
      </c>
      <c r="B258" t="s">
        <v>284</v>
      </c>
      <c r="C258" t="s">
        <v>1269</v>
      </c>
    </row>
    <row r="259" spans="1:3" x14ac:dyDescent="0.25">
      <c r="A259">
        <v>1646</v>
      </c>
      <c r="B259" t="s">
        <v>284</v>
      </c>
      <c r="C259" t="s">
        <v>1270</v>
      </c>
    </row>
    <row r="260" spans="1:3" x14ac:dyDescent="0.25">
      <c r="A260">
        <v>1724</v>
      </c>
      <c r="B260" t="s">
        <v>284</v>
      </c>
      <c r="C260" t="s">
        <v>1271</v>
      </c>
    </row>
    <row r="261" spans="1:3" x14ac:dyDescent="0.25">
      <c r="A261">
        <v>1906</v>
      </c>
      <c r="B261" t="s">
        <v>284</v>
      </c>
      <c r="C261" t="s">
        <v>1272</v>
      </c>
    </row>
    <row r="262" spans="1:3" x14ac:dyDescent="0.25">
      <c r="A262">
        <v>1706</v>
      </c>
      <c r="B262" t="s">
        <v>284</v>
      </c>
      <c r="C262" t="s">
        <v>1273</v>
      </c>
    </row>
    <row r="263" spans="1:3" x14ac:dyDescent="0.25">
      <c r="A263">
        <v>1846</v>
      </c>
      <c r="B263" t="s">
        <v>284</v>
      </c>
      <c r="C263" t="s">
        <v>1274</v>
      </c>
    </row>
    <row r="264" spans="1:3" x14ac:dyDescent="0.25">
      <c r="A264">
        <v>1690</v>
      </c>
      <c r="B264" t="s">
        <v>284</v>
      </c>
      <c r="C264" t="s">
        <v>177</v>
      </c>
    </row>
    <row r="265" spans="1:3" x14ac:dyDescent="0.25">
      <c r="A265">
        <v>1721</v>
      </c>
      <c r="B265" t="s">
        <v>284</v>
      </c>
      <c r="C265" t="s">
        <v>176</v>
      </c>
    </row>
    <row r="266" spans="1:3" x14ac:dyDescent="0.25">
      <c r="A266">
        <v>1682</v>
      </c>
      <c r="B266" t="s">
        <v>284</v>
      </c>
      <c r="C266" t="s">
        <v>1275</v>
      </c>
    </row>
    <row r="267" spans="1:3" x14ac:dyDescent="0.25">
      <c r="A267">
        <v>1884</v>
      </c>
      <c r="B267" t="s">
        <v>284</v>
      </c>
      <c r="C267" t="s">
        <v>1276</v>
      </c>
    </row>
    <row r="268" spans="1:3" x14ac:dyDescent="0.25">
      <c r="A268">
        <v>1923</v>
      </c>
      <c r="B268" t="s">
        <v>284</v>
      </c>
      <c r="C268" t="s">
        <v>1277</v>
      </c>
    </row>
    <row r="269" spans="1:3" x14ac:dyDescent="0.25">
      <c r="A269">
        <v>1684</v>
      </c>
      <c r="B269" t="s">
        <v>284</v>
      </c>
      <c r="C269" t="s">
        <v>1278</v>
      </c>
    </row>
    <row r="270" spans="1:3" x14ac:dyDescent="0.25">
      <c r="A270">
        <v>1824</v>
      </c>
      <c r="B270" t="s">
        <v>284</v>
      </c>
      <c r="C270" t="s">
        <v>1279</v>
      </c>
    </row>
    <row r="271" spans="1:3" x14ac:dyDescent="0.25">
      <c r="A271">
        <v>1871</v>
      </c>
      <c r="B271" t="s">
        <v>284</v>
      </c>
      <c r="C271" t="s">
        <v>1280</v>
      </c>
    </row>
    <row r="272" spans="1:3" x14ac:dyDescent="0.25">
      <c r="A272">
        <v>1647</v>
      </c>
      <c r="B272" t="s">
        <v>284</v>
      </c>
      <c r="C272" t="s">
        <v>1281</v>
      </c>
    </row>
    <row r="273" spans="1:3" x14ac:dyDescent="0.25">
      <c r="A273">
        <v>1683</v>
      </c>
      <c r="B273" t="s">
        <v>284</v>
      </c>
      <c r="C273" t="s">
        <v>1282</v>
      </c>
    </row>
    <row r="274" spans="1:3" x14ac:dyDescent="0.25">
      <c r="A274">
        <v>1711</v>
      </c>
      <c r="B274" t="s">
        <v>284</v>
      </c>
      <c r="C274" t="s">
        <v>1283</v>
      </c>
    </row>
    <row r="275" spans="1:3" x14ac:dyDescent="0.25">
      <c r="A275">
        <v>1648</v>
      </c>
      <c r="B275" t="s">
        <v>284</v>
      </c>
      <c r="C275" t="s">
        <v>168</v>
      </c>
    </row>
    <row r="276" spans="1:3" x14ac:dyDescent="0.25">
      <c r="A276">
        <v>1816</v>
      </c>
      <c r="B276" t="s">
        <v>284</v>
      </c>
      <c r="C276" t="s">
        <v>1284</v>
      </c>
    </row>
    <row r="277" spans="1:3" x14ac:dyDescent="0.25">
      <c r="A277">
        <v>1873</v>
      </c>
      <c r="B277" t="s">
        <v>284</v>
      </c>
      <c r="C277" t="s">
        <v>1285</v>
      </c>
    </row>
    <row r="278" spans="1:3" x14ac:dyDescent="0.25">
      <c r="A278">
        <v>1714</v>
      </c>
      <c r="B278" t="s">
        <v>284</v>
      </c>
      <c r="C278" t="s">
        <v>1286</v>
      </c>
    </row>
    <row r="279" spans="1:3" x14ac:dyDescent="0.25">
      <c r="A279">
        <v>1705</v>
      </c>
      <c r="B279" t="s">
        <v>284</v>
      </c>
      <c r="C279" t="s">
        <v>1287</v>
      </c>
    </row>
    <row r="280" spans="1:3" x14ac:dyDescent="0.25">
      <c r="A280">
        <v>1649</v>
      </c>
      <c r="B280" t="s">
        <v>284</v>
      </c>
      <c r="C280" t="s">
        <v>1288</v>
      </c>
    </row>
    <row r="281" spans="1:3" x14ac:dyDescent="0.25">
      <c r="A281">
        <v>1799</v>
      </c>
      <c r="B281" t="s">
        <v>284</v>
      </c>
      <c r="C281" t="s">
        <v>1289</v>
      </c>
    </row>
    <row r="282" spans="1:3" x14ac:dyDescent="0.25">
      <c r="A282">
        <v>1850</v>
      </c>
      <c r="B282" t="s">
        <v>284</v>
      </c>
      <c r="C282" t="s">
        <v>173</v>
      </c>
    </row>
    <row r="283" spans="1:3" x14ac:dyDescent="0.25">
      <c r="A283">
        <v>1650</v>
      </c>
      <c r="B283" t="s">
        <v>284</v>
      </c>
      <c r="C283" t="s">
        <v>1290</v>
      </c>
    </row>
    <row r="284" spans="1:3" x14ac:dyDescent="0.25">
      <c r="A284">
        <v>1825</v>
      </c>
      <c r="B284" t="s">
        <v>284</v>
      </c>
      <c r="C284" t="s">
        <v>1291</v>
      </c>
    </row>
    <row r="285" spans="1:3" x14ac:dyDescent="0.25">
      <c r="A285">
        <v>1685</v>
      </c>
      <c r="B285" t="s">
        <v>284</v>
      </c>
      <c r="C285" t="s">
        <v>1292</v>
      </c>
    </row>
    <row r="286" spans="1:3" x14ac:dyDescent="0.25">
      <c r="A286">
        <v>1919</v>
      </c>
      <c r="B286" t="s">
        <v>284</v>
      </c>
      <c r="C286" t="s">
        <v>1293</v>
      </c>
    </row>
    <row r="287" spans="1:3" x14ac:dyDescent="0.25">
      <c r="A287">
        <v>1689</v>
      </c>
      <c r="B287" t="s">
        <v>284</v>
      </c>
      <c r="C287" t="s">
        <v>1294</v>
      </c>
    </row>
    <row r="288" spans="1:3" x14ac:dyDescent="0.25">
      <c r="A288">
        <v>1844</v>
      </c>
      <c r="B288" t="s">
        <v>284</v>
      </c>
      <c r="C288" t="s">
        <v>1295</v>
      </c>
    </row>
    <row r="289" spans="1:3" x14ac:dyDescent="0.25">
      <c r="A289">
        <v>1746</v>
      </c>
      <c r="B289" t="s">
        <v>284</v>
      </c>
      <c r="C289" t="s">
        <v>1296</v>
      </c>
    </row>
    <row r="290" spans="1:3" x14ac:dyDescent="0.25">
      <c r="A290">
        <v>1797</v>
      </c>
      <c r="B290" t="s">
        <v>284</v>
      </c>
      <c r="C290" t="s">
        <v>1297</v>
      </c>
    </row>
    <row r="291" spans="1:3" x14ac:dyDescent="0.25">
      <c r="A291">
        <v>1777</v>
      </c>
      <c r="B291" t="s">
        <v>284</v>
      </c>
      <c r="C291" t="s">
        <v>1298</v>
      </c>
    </row>
    <row r="292" spans="1:3" x14ac:dyDescent="0.25">
      <c r="A292">
        <v>1862</v>
      </c>
      <c r="B292" t="s">
        <v>284</v>
      </c>
      <c r="C292" t="s">
        <v>1299</v>
      </c>
    </row>
    <row r="293" spans="1:3" x14ac:dyDescent="0.25">
      <c r="A293">
        <v>1651</v>
      </c>
      <c r="B293" t="s">
        <v>284</v>
      </c>
      <c r="C293" t="s">
        <v>1300</v>
      </c>
    </row>
    <row r="294" spans="1:3" x14ac:dyDescent="0.25">
      <c r="A294">
        <v>1885</v>
      </c>
      <c r="B294" t="s">
        <v>284</v>
      </c>
      <c r="C294" t="s">
        <v>1301</v>
      </c>
    </row>
    <row r="295" spans="1:3" x14ac:dyDescent="0.25">
      <c r="A295">
        <v>1766</v>
      </c>
      <c r="B295" t="s">
        <v>284</v>
      </c>
      <c r="C295" t="s">
        <v>1302</v>
      </c>
    </row>
    <row r="296" spans="1:3" x14ac:dyDescent="0.25">
      <c r="A296">
        <v>1880</v>
      </c>
      <c r="B296" t="s">
        <v>284</v>
      </c>
      <c r="C296" t="s">
        <v>1303</v>
      </c>
    </row>
    <row r="297" spans="1:3" x14ac:dyDescent="0.25">
      <c r="A297">
        <v>1835</v>
      </c>
      <c r="B297" t="s">
        <v>284</v>
      </c>
      <c r="C297" t="s">
        <v>1304</v>
      </c>
    </row>
    <row r="298" spans="1:3" x14ac:dyDescent="0.25">
      <c r="A298">
        <v>1697</v>
      </c>
      <c r="B298" t="s">
        <v>284</v>
      </c>
      <c r="C298" t="s">
        <v>1305</v>
      </c>
    </row>
    <row r="299" spans="1:3" x14ac:dyDescent="0.25">
      <c r="A299">
        <v>1859</v>
      </c>
      <c r="B299" t="s">
        <v>284</v>
      </c>
      <c r="C299" t="s">
        <v>1306</v>
      </c>
    </row>
    <row r="300" spans="1:3" x14ac:dyDescent="0.25">
      <c r="A300">
        <v>1717</v>
      </c>
      <c r="B300" t="s">
        <v>284</v>
      </c>
      <c r="C300" t="s">
        <v>1307</v>
      </c>
    </row>
    <row r="301" spans="1:3" x14ac:dyDescent="0.25">
      <c r="A301">
        <v>1687</v>
      </c>
      <c r="B301" t="s">
        <v>284</v>
      </c>
      <c r="C301" t="s">
        <v>166</v>
      </c>
    </row>
    <row r="302" spans="1:3" x14ac:dyDescent="0.25">
      <c r="A302">
        <v>1812</v>
      </c>
      <c r="B302" t="s">
        <v>284</v>
      </c>
      <c r="C302" t="s">
        <v>1308</v>
      </c>
    </row>
    <row r="303" spans="1:3" x14ac:dyDescent="0.25">
      <c r="A303">
        <v>1813</v>
      </c>
      <c r="B303" t="s">
        <v>284</v>
      </c>
      <c r="C303" t="s">
        <v>1309</v>
      </c>
    </row>
    <row r="304" spans="1:3" x14ac:dyDescent="0.25">
      <c r="A304">
        <v>1926</v>
      </c>
      <c r="B304" t="s">
        <v>284</v>
      </c>
      <c r="C304" t="s">
        <v>1310</v>
      </c>
    </row>
    <row r="305" spans="1:3" x14ac:dyDescent="0.25">
      <c r="A305">
        <v>1838</v>
      </c>
      <c r="B305" t="s">
        <v>284</v>
      </c>
      <c r="C305" t="s">
        <v>1311</v>
      </c>
    </row>
    <row r="306" spans="1:3" x14ac:dyDescent="0.25">
      <c r="A306">
        <v>1700</v>
      </c>
      <c r="B306" t="s">
        <v>284</v>
      </c>
      <c r="C306" t="s">
        <v>1312</v>
      </c>
    </row>
    <row r="307" spans="1:3" x14ac:dyDescent="0.25">
      <c r="A307">
        <v>1652</v>
      </c>
      <c r="B307" t="s">
        <v>284</v>
      </c>
      <c r="C307" t="s">
        <v>1313</v>
      </c>
    </row>
    <row r="308" spans="1:3" x14ac:dyDescent="0.25">
      <c r="A308">
        <v>1653</v>
      </c>
      <c r="B308" t="s">
        <v>284</v>
      </c>
      <c r="C308" t="s">
        <v>1314</v>
      </c>
    </row>
    <row r="309" spans="1:3" x14ac:dyDescent="0.25">
      <c r="A309">
        <v>1840</v>
      </c>
      <c r="B309" t="s">
        <v>284</v>
      </c>
      <c r="C309" t="s">
        <v>1315</v>
      </c>
    </row>
    <row r="310" spans="1:3" x14ac:dyDescent="0.25">
      <c r="A310">
        <v>1696</v>
      </c>
      <c r="B310" t="s">
        <v>284</v>
      </c>
      <c r="C310" t="s">
        <v>1316</v>
      </c>
    </row>
    <row r="311" spans="1:3" x14ac:dyDescent="0.25">
      <c r="A311">
        <v>1761</v>
      </c>
      <c r="B311" t="s">
        <v>284</v>
      </c>
      <c r="C311" t="s">
        <v>1317</v>
      </c>
    </row>
    <row r="312" spans="1:3" x14ac:dyDescent="0.25">
      <c r="A312">
        <v>1782</v>
      </c>
      <c r="B312" t="s">
        <v>284</v>
      </c>
      <c r="C312" t="s">
        <v>1318</v>
      </c>
    </row>
    <row r="313" spans="1:3" x14ac:dyDescent="0.25">
      <c r="A313">
        <v>1719</v>
      </c>
      <c r="B313" t="s">
        <v>284</v>
      </c>
      <c r="C313" t="s">
        <v>1319</v>
      </c>
    </row>
    <row r="314" spans="1:3" x14ac:dyDescent="0.25">
      <c r="A314">
        <v>1814</v>
      </c>
      <c r="B314" t="s">
        <v>284</v>
      </c>
      <c r="C314" t="s">
        <v>1320</v>
      </c>
    </row>
    <row r="315" spans="1:3" x14ac:dyDescent="0.25">
      <c r="A315">
        <v>1877</v>
      </c>
      <c r="B315" t="s">
        <v>284</v>
      </c>
      <c r="C315" t="s">
        <v>1321</v>
      </c>
    </row>
    <row r="316" spans="1:3" x14ac:dyDescent="0.25">
      <c r="A316">
        <v>1905</v>
      </c>
      <c r="B316" t="s">
        <v>284</v>
      </c>
      <c r="C316" t="s">
        <v>1322</v>
      </c>
    </row>
    <row r="317" spans="1:3" x14ac:dyDescent="0.25">
      <c r="A317">
        <v>1900</v>
      </c>
      <c r="B317" t="s">
        <v>284</v>
      </c>
      <c r="C317" t="s">
        <v>1323</v>
      </c>
    </row>
    <row r="318" spans="1:3" x14ac:dyDescent="0.25">
      <c r="A318">
        <v>1723</v>
      </c>
      <c r="B318" t="s">
        <v>284</v>
      </c>
      <c r="C318" t="s">
        <v>1324</v>
      </c>
    </row>
    <row r="319" spans="1:3" x14ac:dyDescent="0.25">
      <c r="A319">
        <v>1889</v>
      </c>
      <c r="B319" t="s">
        <v>284</v>
      </c>
      <c r="C319" t="s">
        <v>1325</v>
      </c>
    </row>
    <row r="320" spans="1:3" x14ac:dyDescent="0.25">
      <c r="A320">
        <v>1654</v>
      </c>
      <c r="B320" t="s">
        <v>284</v>
      </c>
      <c r="C320" t="s">
        <v>1326</v>
      </c>
    </row>
    <row r="321" spans="1:3" x14ac:dyDescent="0.25">
      <c r="A321">
        <v>1819</v>
      </c>
      <c r="B321" t="s">
        <v>284</v>
      </c>
      <c r="C321" t="s">
        <v>1327</v>
      </c>
    </row>
    <row r="322" spans="1:3" x14ac:dyDescent="0.25">
      <c r="A322">
        <v>1739</v>
      </c>
      <c r="B322" t="s">
        <v>284</v>
      </c>
      <c r="C322" t="s">
        <v>1328</v>
      </c>
    </row>
    <row r="323" spans="1:3" x14ac:dyDescent="0.25">
      <c r="A323">
        <v>1655</v>
      </c>
      <c r="B323" t="s">
        <v>284</v>
      </c>
      <c r="C323" t="s">
        <v>1329</v>
      </c>
    </row>
    <row r="324" spans="1:3" x14ac:dyDescent="0.25">
      <c r="A324">
        <v>1703</v>
      </c>
      <c r="B324" t="s">
        <v>284</v>
      </c>
      <c r="C324" t="s">
        <v>1330</v>
      </c>
    </row>
    <row r="325" spans="1:3" x14ac:dyDescent="0.25">
      <c r="A325">
        <v>1911</v>
      </c>
      <c r="B325" t="s">
        <v>284</v>
      </c>
      <c r="C325" t="s">
        <v>1331</v>
      </c>
    </row>
    <row r="326" spans="1:3" x14ac:dyDescent="0.25">
      <c r="A326">
        <v>1695</v>
      </c>
      <c r="B326" t="s">
        <v>284</v>
      </c>
      <c r="C326" t="s">
        <v>1332</v>
      </c>
    </row>
    <row r="327" spans="1:3" x14ac:dyDescent="0.25">
      <c r="A327">
        <v>1910</v>
      </c>
      <c r="B327" t="s">
        <v>284</v>
      </c>
      <c r="C327" t="s">
        <v>1333</v>
      </c>
    </row>
    <row r="328" spans="1:3" x14ac:dyDescent="0.25">
      <c r="A328">
        <v>1792</v>
      </c>
      <c r="B328" t="s">
        <v>284</v>
      </c>
      <c r="C328" t="s">
        <v>1334</v>
      </c>
    </row>
    <row r="329" spans="1:3" x14ac:dyDescent="0.25">
      <c r="A329">
        <v>1656</v>
      </c>
      <c r="B329" t="s">
        <v>284</v>
      </c>
      <c r="C329" t="s">
        <v>1335</v>
      </c>
    </row>
    <row r="330" spans="1:3" x14ac:dyDescent="0.25">
      <c r="A330">
        <v>1657</v>
      </c>
      <c r="B330" t="s">
        <v>284</v>
      </c>
      <c r="C330" t="s">
        <v>1336</v>
      </c>
    </row>
    <row r="331" spans="1:3" x14ac:dyDescent="0.25">
      <c r="A331">
        <v>1858</v>
      </c>
      <c r="B331" t="s">
        <v>284</v>
      </c>
      <c r="C331" t="s">
        <v>1337</v>
      </c>
    </row>
    <row r="332" spans="1:3" x14ac:dyDescent="0.25">
      <c r="A332">
        <v>1658</v>
      </c>
      <c r="B332" t="s">
        <v>284</v>
      </c>
      <c r="C332" t="s">
        <v>1338</v>
      </c>
    </row>
    <row r="333" spans="1:3" x14ac:dyDescent="0.25">
      <c r="A333">
        <v>1785</v>
      </c>
      <c r="B333" t="s">
        <v>284</v>
      </c>
      <c r="C333" t="s">
        <v>1339</v>
      </c>
    </row>
    <row r="334" spans="1:3" x14ac:dyDescent="0.25">
      <c r="A334">
        <v>1857</v>
      </c>
      <c r="B334" t="s">
        <v>284</v>
      </c>
      <c r="C334" t="s">
        <v>1340</v>
      </c>
    </row>
    <row r="335" spans="1:3" x14ac:dyDescent="0.25">
      <c r="A335">
        <v>1773</v>
      </c>
      <c r="B335" t="s">
        <v>284</v>
      </c>
      <c r="C335" t="s">
        <v>1341</v>
      </c>
    </row>
    <row r="336" spans="1:3" x14ac:dyDescent="0.25">
      <c r="A336">
        <v>1772</v>
      </c>
      <c r="B336" t="s">
        <v>284</v>
      </c>
      <c r="C336" t="s">
        <v>170</v>
      </c>
    </row>
    <row r="337" spans="1:3" x14ac:dyDescent="0.25">
      <c r="A337">
        <v>1728</v>
      </c>
      <c r="B337" t="s">
        <v>284</v>
      </c>
      <c r="C337" t="s">
        <v>1342</v>
      </c>
    </row>
    <row r="338" spans="1:3" x14ac:dyDescent="0.25">
      <c r="A338">
        <v>1815</v>
      </c>
      <c r="B338" t="s">
        <v>284</v>
      </c>
      <c r="C338" t="s">
        <v>1343</v>
      </c>
    </row>
    <row r="339" spans="1:3" x14ac:dyDescent="0.25">
      <c r="A339">
        <v>1898</v>
      </c>
      <c r="B339" t="s">
        <v>284</v>
      </c>
      <c r="C339" t="s">
        <v>1344</v>
      </c>
    </row>
    <row r="340" spans="1:3" x14ac:dyDescent="0.25">
      <c r="A340">
        <v>1896</v>
      </c>
      <c r="B340" t="s">
        <v>284</v>
      </c>
      <c r="C340" t="s">
        <v>1345</v>
      </c>
    </row>
    <row r="341" spans="1:3" x14ac:dyDescent="0.25">
      <c r="A341">
        <v>1876</v>
      </c>
      <c r="B341" t="s">
        <v>284</v>
      </c>
      <c r="C341" t="s">
        <v>1346</v>
      </c>
    </row>
    <row r="342" spans="1:3" x14ac:dyDescent="0.25">
      <c r="A342">
        <v>1917</v>
      </c>
      <c r="B342" t="s">
        <v>284</v>
      </c>
      <c r="C342" t="s">
        <v>1347</v>
      </c>
    </row>
    <row r="343" spans="1:3" x14ac:dyDescent="0.25">
      <c r="A343">
        <v>1854</v>
      </c>
      <c r="B343" t="s">
        <v>284</v>
      </c>
      <c r="C343" t="s">
        <v>1348</v>
      </c>
    </row>
    <row r="344" spans="1:3" x14ac:dyDescent="0.25">
      <c r="A344">
        <v>1691</v>
      </c>
      <c r="B344" t="s">
        <v>284</v>
      </c>
      <c r="C344" t="s">
        <v>172</v>
      </c>
    </row>
    <row r="345" spans="1:3" x14ac:dyDescent="0.25">
      <c r="A345">
        <v>1729</v>
      </c>
      <c r="B345" t="s">
        <v>284</v>
      </c>
      <c r="C345" t="s">
        <v>1349</v>
      </c>
    </row>
    <row r="346" spans="1:3" x14ac:dyDescent="0.25">
      <c r="A346">
        <v>1780</v>
      </c>
      <c r="B346" t="s">
        <v>284</v>
      </c>
      <c r="C346" t="s">
        <v>1350</v>
      </c>
    </row>
    <row r="347" spans="1:3" x14ac:dyDescent="0.25">
      <c r="A347">
        <v>1861</v>
      </c>
      <c r="B347" t="s">
        <v>284</v>
      </c>
      <c r="C347" t="s">
        <v>1351</v>
      </c>
    </row>
    <row r="348" spans="1:3" x14ac:dyDescent="0.25">
      <c r="A348">
        <v>1913</v>
      </c>
      <c r="B348" t="s">
        <v>284</v>
      </c>
      <c r="C348" t="s">
        <v>1352</v>
      </c>
    </row>
    <row r="349" spans="1:3" x14ac:dyDescent="0.25">
      <c r="A349">
        <v>1726</v>
      </c>
      <c r="B349" t="s">
        <v>284</v>
      </c>
      <c r="C349" t="s">
        <v>1353</v>
      </c>
    </row>
    <row r="350" spans="1:3" x14ac:dyDescent="0.25">
      <c r="A350">
        <v>1805</v>
      </c>
      <c r="B350" t="s">
        <v>284</v>
      </c>
      <c r="C350" t="s">
        <v>1354</v>
      </c>
    </row>
    <row r="351" spans="1:3" x14ac:dyDescent="0.25">
      <c r="A351">
        <v>1895</v>
      </c>
      <c r="B351" t="s">
        <v>284</v>
      </c>
      <c r="C351" t="s">
        <v>1355</v>
      </c>
    </row>
    <row r="352" spans="1:3" x14ac:dyDescent="0.25">
      <c r="A352">
        <v>1712</v>
      </c>
      <c r="B352" t="s">
        <v>284</v>
      </c>
      <c r="C352" t="s">
        <v>1356</v>
      </c>
    </row>
    <row r="353" spans="1:3" x14ac:dyDescent="0.25">
      <c r="A353">
        <v>1753</v>
      </c>
      <c r="B353" t="s">
        <v>284</v>
      </c>
      <c r="C353" t="s">
        <v>1357</v>
      </c>
    </row>
    <row r="354" spans="1:3" x14ac:dyDescent="0.25">
      <c r="A354">
        <v>1755</v>
      </c>
      <c r="B354" t="s">
        <v>284</v>
      </c>
      <c r="C354" t="s">
        <v>1358</v>
      </c>
    </row>
    <row r="355" spans="1:3" x14ac:dyDescent="0.25">
      <c r="A355">
        <v>1914</v>
      </c>
      <c r="B355" t="s">
        <v>284</v>
      </c>
      <c r="C355" t="s">
        <v>1359</v>
      </c>
    </row>
    <row r="356" spans="1:3" x14ac:dyDescent="0.25">
      <c r="A356">
        <v>1860</v>
      </c>
      <c r="B356" t="s">
        <v>284</v>
      </c>
      <c r="C356" t="s">
        <v>1360</v>
      </c>
    </row>
    <row r="357" spans="1:3" x14ac:dyDescent="0.25">
      <c r="A357">
        <v>1908</v>
      </c>
      <c r="B357" t="s">
        <v>284</v>
      </c>
      <c r="C357" t="s">
        <v>1361</v>
      </c>
    </row>
    <row r="358" spans="1:3" x14ac:dyDescent="0.25">
      <c r="A358">
        <v>1929</v>
      </c>
      <c r="B358" t="s">
        <v>284</v>
      </c>
      <c r="C358" t="s">
        <v>1361</v>
      </c>
    </row>
    <row r="359" spans="1:3" x14ac:dyDescent="0.25">
      <c r="A359">
        <v>1892</v>
      </c>
      <c r="B359" t="s">
        <v>284</v>
      </c>
      <c r="C359" t="s">
        <v>1362</v>
      </c>
    </row>
    <row r="360" spans="1:3" x14ac:dyDescent="0.25">
      <c r="A360">
        <v>1847</v>
      </c>
      <c r="B360" t="s">
        <v>284</v>
      </c>
      <c r="C360" t="s">
        <v>1363</v>
      </c>
    </row>
    <row r="361" spans="1:3" x14ac:dyDescent="0.25">
      <c r="A361">
        <v>1736</v>
      </c>
      <c r="B361" t="s">
        <v>284</v>
      </c>
      <c r="C361" t="s">
        <v>1364</v>
      </c>
    </row>
    <row r="362" spans="1:3" x14ac:dyDescent="0.25">
      <c r="A362">
        <v>1704</v>
      </c>
      <c r="B362" t="s">
        <v>284</v>
      </c>
      <c r="C362" t="s">
        <v>1365</v>
      </c>
    </row>
    <row r="363" spans="1:3" x14ac:dyDescent="0.25">
      <c r="A363">
        <v>1894</v>
      </c>
      <c r="B363" t="s">
        <v>284</v>
      </c>
      <c r="C363" t="s">
        <v>1366</v>
      </c>
    </row>
    <row r="364" spans="1:3" x14ac:dyDescent="0.25">
      <c r="A364">
        <v>1767</v>
      </c>
      <c r="B364" t="s">
        <v>284</v>
      </c>
      <c r="C364" t="s">
        <v>1367</v>
      </c>
    </row>
    <row r="365" spans="1:3" x14ac:dyDescent="0.25">
      <c r="A365">
        <v>1765</v>
      </c>
      <c r="B365" t="s">
        <v>284</v>
      </c>
      <c r="C365" t="s">
        <v>1368</v>
      </c>
    </row>
    <row r="366" spans="1:3" x14ac:dyDescent="0.25">
      <c r="A366">
        <v>1762</v>
      </c>
      <c r="B366" t="s">
        <v>284</v>
      </c>
      <c r="C366" t="s">
        <v>1369</v>
      </c>
    </row>
    <row r="367" spans="1:3" x14ac:dyDescent="0.25">
      <c r="A367">
        <v>1899</v>
      </c>
      <c r="B367" t="s">
        <v>284</v>
      </c>
      <c r="C367" t="s">
        <v>1370</v>
      </c>
    </row>
    <row r="368" spans="1:3" x14ac:dyDescent="0.25">
      <c r="A368">
        <v>1710</v>
      </c>
      <c r="B368" t="s">
        <v>284</v>
      </c>
      <c r="C368" t="s">
        <v>1371</v>
      </c>
    </row>
    <row r="369" spans="1:3" x14ac:dyDescent="0.25">
      <c r="A369">
        <v>1912</v>
      </c>
      <c r="B369" t="s">
        <v>284</v>
      </c>
      <c r="C369" t="s">
        <v>1372</v>
      </c>
    </row>
    <row r="370" spans="1:3" x14ac:dyDescent="0.25">
      <c r="A370">
        <v>1659</v>
      </c>
      <c r="B370" t="s">
        <v>284</v>
      </c>
      <c r="C370" t="s">
        <v>1373</v>
      </c>
    </row>
    <row r="371" spans="1:3" x14ac:dyDescent="0.25">
      <c r="A371">
        <v>1688</v>
      </c>
      <c r="B371" t="s">
        <v>284</v>
      </c>
      <c r="C371" t="s">
        <v>1374</v>
      </c>
    </row>
    <row r="372" spans="1:3" x14ac:dyDescent="0.25">
      <c r="A372">
        <v>1660</v>
      </c>
      <c r="B372" t="s">
        <v>284</v>
      </c>
      <c r="C372" t="s">
        <v>1375</v>
      </c>
    </row>
    <row r="373" spans="1:3" x14ac:dyDescent="0.25">
      <c r="A373">
        <v>1863</v>
      </c>
      <c r="B373" t="s">
        <v>284</v>
      </c>
      <c r="C373" t="s">
        <v>1376</v>
      </c>
    </row>
    <row r="374" spans="1:3" x14ac:dyDescent="0.25">
      <c r="A374">
        <v>1845</v>
      </c>
      <c r="B374" t="s">
        <v>284</v>
      </c>
      <c r="C374" t="s">
        <v>1377</v>
      </c>
    </row>
    <row r="375" spans="1:3" x14ac:dyDescent="0.25">
      <c r="A375">
        <v>1909</v>
      </c>
      <c r="B375" t="s">
        <v>284</v>
      </c>
      <c r="C375" t="s">
        <v>1378</v>
      </c>
    </row>
    <row r="376" spans="1:3" x14ac:dyDescent="0.25">
      <c r="A376">
        <v>1791</v>
      </c>
      <c r="B376" t="s">
        <v>284</v>
      </c>
      <c r="C376" t="s">
        <v>1379</v>
      </c>
    </row>
    <row r="377" spans="1:3" x14ac:dyDescent="0.25">
      <c r="A377">
        <v>1661</v>
      </c>
      <c r="B377" t="s">
        <v>284</v>
      </c>
      <c r="C377" t="s">
        <v>1380</v>
      </c>
    </row>
    <row r="378" spans="1:3" x14ac:dyDescent="0.25">
      <c r="A378">
        <v>1745</v>
      </c>
      <c r="B378" t="s">
        <v>284</v>
      </c>
      <c r="C378" t="s">
        <v>1381</v>
      </c>
    </row>
    <row r="379" spans="1:3" x14ac:dyDescent="0.25">
      <c r="A379">
        <v>1759</v>
      </c>
      <c r="B379" t="s">
        <v>284</v>
      </c>
      <c r="C379" t="s">
        <v>1382</v>
      </c>
    </row>
    <row r="380" spans="1:3" x14ac:dyDescent="0.25">
      <c r="A380">
        <v>1820</v>
      </c>
      <c r="B380" t="s">
        <v>284</v>
      </c>
      <c r="C380" t="s">
        <v>1383</v>
      </c>
    </row>
    <row r="381" spans="1:3" x14ac:dyDescent="0.25">
      <c r="A381">
        <v>1786</v>
      </c>
      <c r="B381" t="s">
        <v>284</v>
      </c>
      <c r="C381" t="s">
        <v>1384</v>
      </c>
    </row>
    <row r="382" spans="1:3" x14ac:dyDescent="0.25">
      <c r="A382">
        <v>1744</v>
      </c>
      <c r="B382" t="s">
        <v>284</v>
      </c>
      <c r="C382" t="s">
        <v>1385</v>
      </c>
    </row>
    <row r="383" spans="1:3" x14ac:dyDescent="0.25">
      <c r="A383">
        <v>1810</v>
      </c>
      <c r="B383" t="s">
        <v>284</v>
      </c>
      <c r="C383" t="s">
        <v>1386</v>
      </c>
    </row>
    <row r="384" spans="1:3" x14ac:dyDescent="0.25">
      <c r="A384">
        <v>1828</v>
      </c>
      <c r="B384" t="s">
        <v>284</v>
      </c>
      <c r="C384" t="s">
        <v>1387</v>
      </c>
    </row>
    <row r="385" spans="1:3" x14ac:dyDescent="0.25">
      <c r="A385">
        <v>1916</v>
      </c>
      <c r="B385" t="s">
        <v>284</v>
      </c>
      <c r="C385" t="s">
        <v>1388</v>
      </c>
    </row>
    <row r="386" spans="1:3" x14ac:dyDescent="0.25">
      <c r="A386">
        <v>1763</v>
      </c>
      <c r="B386" t="s">
        <v>284</v>
      </c>
      <c r="C386" t="s">
        <v>1389</v>
      </c>
    </row>
    <row r="387" spans="1:3" x14ac:dyDescent="0.25">
      <c r="A387">
        <v>1804</v>
      </c>
      <c r="B387" t="s">
        <v>284</v>
      </c>
      <c r="C387" t="s">
        <v>1390</v>
      </c>
    </row>
    <row r="388" spans="1:3" x14ac:dyDescent="0.25">
      <c r="A388">
        <v>1851</v>
      </c>
      <c r="B388" t="s">
        <v>284</v>
      </c>
      <c r="C388" t="s">
        <v>1391</v>
      </c>
    </row>
    <row r="389" spans="1:3" x14ac:dyDescent="0.25">
      <c r="A389">
        <v>1716</v>
      </c>
      <c r="B389" t="s">
        <v>284</v>
      </c>
      <c r="C389" t="s">
        <v>1392</v>
      </c>
    </row>
    <row r="390" spans="1:3" x14ac:dyDescent="0.25">
      <c r="A390">
        <v>1787</v>
      </c>
      <c r="B390" t="s">
        <v>284</v>
      </c>
      <c r="C390" t="s">
        <v>1393</v>
      </c>
    </row>
    <row r="391" spans="1:3" x14ac:dyDescent="0.25">
      <c r="A391">
        <v>1662</v>
      </c>
      <c r="B391" t="s">
        <v>284</v>
      </c>
      <c r="C391" t="s">
        <v>1394</v>
      </c>
    </row>
    <row r="392" spans="1:3" x14ac:dyDescent="0.25">
      <c r="A392">
        <v>1907</v>
      </c>
      <c r="B392" t="s">
        <v>284</v>
      </c>
      <c r="C392" t="s">
        <v>1395</v>
      </c>
    </row>
    <row r="393" spans="1:3" x14ac:dyDescent="0.25">
      <c r="A393">
        <v>1802</v>
      </c>
      <c r="B393" t="s">
        <v>284</v>
      </c>
      <c r="C393" t="s">
        <v>1396</v>
      </c>
    </row>
    <row r="394" spans="1:3" x14ac:dyDescent="0.25">
      <c r="A394">
        <v>1817</v>
      </c>
      <c r="B394" t="s">
        <v>284</v>
      </c>
      <c r="C394" t="s">
        <v>1397</v>
      </c>
    </row>
    <row r="395" spans="1:3" x14ac:dyDescent="0.25">
      <c r="A395">
        <v>1663</v>
      </c>
      <c r="B395" t="s">
        <v>284</v>
      </c>
      <c r="C395" t="s">
        <v>1398</v>
      </c>
    </row>
    <row r="396" spans="1:3" x14ac:dyDescent="0.25">
      <c r="A396">
        <v>1886</v>
      </c>
      <c r="B396" t="s">
        <v>284</v>
      </c>
      <c r="C396" t="s">
        <v>1399</v>
      </c>
    </row>
    <row r="397" spans="1:3" x14ac:dyDescent="0.25">
      <c r="A397">
        <v>1740</v>
      </c>
      <c r="B397" t="s">
        <v>284</v>
      </c>
      <c r="C397" t="s">
        <v>1400</v>
      </c>
    </row>
    <row r="398" spans="1:3" x14ac:dyDescent="0.25">
      <c r="A398">
        <v>1664</v>
      </c>
      <c r="B398" t="s">
        <v>284</v>
      </c>
      <c r="C398" t="s">
        <v>1401</v>
      </c>
    </row>
    <row r="399" spans="1:3" x14ac:dyDescent="0.25">
      <c r="A399">
        <v>1760</v>
      </c>
      <c r="B399" t="s">
        <v>284</v>
      </c>
      <c r="C399" t="s">
        <v>1402</v>
      </c>
    </row>
    <row r="400" spans="1:3" x14ac:dyDescent="0.25">
      <c r="A400">
        <v>1865</v>
      </c>
      <c r="B400" t="s">
        <v>284</v>
      </c>
      <c r="C400" t="s">
        <v>1403</v>
      </c>
    </row>
    <row r="401" spans="1:3" x14ac:dyDescent="0.25">
      <c r="A401">
        <v>1665</v>
      </c>
      <c r="B401" t="s">
        <v>284</v>
      </c>
      <c r="C401" t="s">
        <v>1404</v>
      </c>
    </row>
    <row r="402" spans="1:3" x14ac:dyDescent="0.25">
      <c r="A402">
        <v>1666</v>
      </c>
      <c r="B402" t="s">
        <v>284</v>
      </c>
      <c r="C402" t="s">
        <v>1405</v>
      </c>
    </row>
    <row r="403" spans="1:3" x14ac:dyDescent="0.25">
      <c r="A403">
        <v>1872</v>
      </c>
      <c r="B403" t="s">
        <v>284</v>
      </c>
      <c r="C403" t="s">
        <v>1406</v>
      </c>
    </row>
    <row r="404" spans="1:3" x14ac:dyDescent="0.25">
      <c r="A404">
        <v>1715</v>
      </c>
      <c r="B404" t="s">
        <v>284</v>
      </c>
      <c r="C404" t="s">
        <v>165</v>
      </c>
    </row>
    <row r="405" spans="1:3" x14ac:dyDescent="0.25">
      <c r="A405">
        <v>1864</v>
      </c>
      <c r="B405" t="s">
        <v>284</v>
      </c>
      <c r="C405" t="s">
        <v>1407</v>
      </c>
    </row>
    <row r="406" spans="1:3" x14ac:dyDescent="0.25">
      <c r="A406">
        <v>1807</v>
      </c>
      <c r="B406" t="s">
        <v>284</v>
      </c>
      <c r="C406" t="s">
        <v>1408</v>
      </c>
    </row>
    <row r="407" spans="1:3" x14ac:dyDescent="0.25">
      <c r="A407">
        <v>1924</v>
      </c>
      <c r="B407" t="s">
        <v>284</v>
      </c>
      <c r="C407" t="s">
        <v>1409</v>
      </c>
    </row>
    <row r="408" spans="1:3" x14ac:dyDescent="0.25">
      <c r="A408">
        <v>1856</v>
      </c>
      <c r="B408" t="s">
        <v>284</v>
      </c>
      <c r="C408" t="s">
        <v>1410</v>
      </c>
    </row>
    <row r="409" spans="1:3" x14ac:dyDescent="0.25">
      <c r="A409">
        <v>1750</v>
      </c>
      <c r="B409" t="s">
        <v>284</v>
      </c>
      <c r="C409" t="s">
        <v>1411</v>
      </c>
    </row>
    <row r="410" spans="1:3" x14ac:dyDescent="0.25">
      <c r="A410">
        <v>1776</v>
      </c>
      <c r="B410" t="s">
        <v>284</v>
      </c>
      <c r="C410" t="s">
        <v>1412</v>
      </c>
    </row>
    <row r="411" spans="1:3" x14ac:dyDescent="0.25">
      <c r="A411">
        <v>1741</v>
      </c>
      <c r="B411" t="s">
        <v>284</v>
      </c>
      <c r="C411" t="s">
        <v>1413</v>
      </c>
    </row>
    <row r="412" spans="1:3" x14ac:dyDescent="0.25">
      <c r="A412">
        <v>1692</v>
      </c>
      <c r="B412" t="s">
        <v>284</v>
      </c>
      <c r="C412" t="s">
        <v>1414</v>
      </c>
    </row>
    <row r="413" spans="1:3" x14ac:dyDescent="0.25">
      <c r="A413">
        <v>1667</v>
      </c>
      <c r="B413" t="s">
        <v>284</v>
      </c>
      <c r="C413" t="s">
        <v>1415</v>
      </c>
    </row>
    <row r="414" spans="1:3" x14ac:dyDescent="0.25">
      <c r="A414">
        <v>1727</v>
      </c>
      <c r="B414" t="s">
        <v>284</v>
      </c>
      <c r="C414" t="s">
        <v>1416</v>
      </c>
    </row>
    <row r="415" spans="1:3" x14ac:dyDescent="0.25">
      <c r="A415">
        <v>1709</v>
      </c>
      <c r="B415" t="s">
        <v>284</v>
      </c>
      <c r="C415" t="s">
        <v>1417</v>
      </c>
    </row>
    <row r="416" spans="1:3" x14ac:dyDescent="0.25">
      <c r="A416">
        <v>1756</v>
      </c>
      <c r="B416" t="s">
        <v>284</v>
      </c>
      <c r="C416" t="s">
        <v>167</v>
      </c>
    </row>
    <row r="417" spans="1:3" x14ac:dyDescent="0.25">
      <c r="A417">
        <v>1918</v>
      </c>
      <c r="B417" t="s">
        <v>284</v>
      </c>
      <c r="C417" t="s">
        <v>1418</v>
      </c>
    </row>
    <row r="418" spans="1:3" x14ac:dyDescent="0.25">
      <c r="A418">
        <v>1731</v>
      </c>
      <c r="B418" t="s">
        <v>284</v>
      </c>
      <c r="C418" t="s">
        <v>1419</v>
      </c>
    </row>
    <row r="419" spans="1:3" x14ac:dyDescent="0.25">
      <c r="A419">
        <v>1890</v>
      </c>
      <c r="B419" t="s">
        <v>284</v>
      </c>
      <c r="C419" t="s">
        <v>171</v>
      </c>
    </row>
    <row r="420" spans="1:3" x14ac:dyDescent="0.25">
      <c r="A420">
        <v>1794</v>
      </c>
      <c r="B420" t="s">
        <v>284</v>
      </c>
      <c r="C420" t="s">
        <v>1420</v>
      </c>
    </row>
    <row r="421" spans="1:3" x14ac:dyDescent="0.25">
      <c r="A421">
        <v>1749</v>
      </c>
      <c r="B421" t="s">
        <v>284</v>
      </c>
      <c r="C421" t="s">
        <v>1421</v>
      </c>
    </row>
    <row r="422" spans="1:3" x14ac:dyDescent="0.25">
      <c r="A422">
        <v>1768</v>
      </c>
      <c r="B422" t="s">
        <v>284</v>
      </c>
      <c r="C422" t="s">
        <v>1422</v>
      </c>
    </row>
    <row r="423" spans="1:3" x14ac:dyDescent="0.25">
      <c r="A423">
        <v>1789</v>
      </c>
      <c r="B423" t="s">
        <v>284</v>
      </c>
      <c r="C423" t="s">
        <v>1422</v>
      </c>
    </row>
    <row r="424" spans="1:3" x14ac:dyDescent="0.25">
      <c r="A424">
        <v>1897</v>
      </c>
      <c r="B424" t="s">
        <v>284</v>
      </c>
      <c r="C424" t="s">
        <v>1423</v>
      </c>
    </row>
    <row r="425" spans="1:3" x14ac:dyDescent="0.25">
      <c r="A425">
        <v>1867</v>
      </c>
      <c r="B425" t="s">
        <v>284</v>
      </c>
      <c r="C425" t="s">
        <v>1424</v>
      </c>
    </row>
    <row r="426" spans="1:3" x14ac:dyDescent="0.25">
      <c r="A426">
        <v>1866</v>
      </c>
      <c r="B426" t="s">
        <v>284</v>
      </c>
      <c r="C426" t="s">
        <v>1425</v>
      </c>
    </row>
    <row r="427" spans="1:3" x14ac:dyDescent="0.25">
      <c r="A427">
        <v>1668</v>
      </c>
      <c r="B427" t="s">
        <v>284</v>
      </c>
      <c r="C427" t="s">
        <v>169</v>
      </c>
    </row>
    <row r="428" spans="1:3" x14ac:dyDescent="0.25">
      <c r="A428">
        <v>1742</v>
      </c>
      <c r="B428" t="s">
        <v>284</v>
      </c>
      <c r="C428" t="s">
        <v>1426</v>
      </c>
    </row>
    <row r="429" spans="1:3" x14ac:dyDescent="0.25">
      <c r="A429">
        <v>1811</v>
      </c>
      <c r="B429" t="s">
        <v>284</v>
      </c>
      <c r="C429" t="s">
        <v>1427</v>
      </c>
    </row>
    <row r="430" spans="1:3" x14ac:dyDescent="0.25">
      <c r="A430">
        <v>1887</v>
      </c>
      <c r="B430" t="s">
        <v>284</v>
      </c>
      <c r="C430" t="s">
        <v>1428</v>
      </c>
    </row>
    <row r="431" spans="1:3" x14ac:dyDescent="0.25">
      <c r="A431">
        <v>1748</v>
      </c>
      <c r="B431" t="s">
        <v>284</v>
      </c>
      <c r="C431" t="s">
        <v>1429</v>
      </c>
    </row>
    <row r="432" spans="1:3" x14ac:dyDescent="0.25">
      <c r="A432">
        <v>1882</v>
      </c>
      <c r="B432" t="s">
        <v>284</v>
      </c>
      <c r="C432" t="s">
        <v>1430</v>
      </c>
    </row>
    <row r="433" spans="1:3" x14ac:dyDescent="0.25">
      <c r="A433">
        <v>1834</v>
      </c>
      <c r="B433" t="s">
        <v>284</v>
      </c>
      <c r="C433" t="s">
        <v>1431</v>
      </c>
    </row>
    <row r="434" spans="1:3" x14ac:dyDescent="0.25">
      <c r="A434">
        <v>1699</v>
      </c>
      <c r="B434" t="s">
        <v>284</v>
      </c>
      <c r="C434" t="s">
        <v>1432</v>
      </c>
    </row>
    <row r="435" spans="1:3" x14ac:dyDescent="0.25">
      <c r="A435">
        <v>1803</v>
      </c>
      <c r="B435" t="s">
        <v>284</v>
      </c>
      <c r="C435" t="s">
        <v>1433</v>
      </c>
    </row>
    <row r="436" spans="1:3" x14ac:dyDescent="0.25">
      <c r="A436">
        <v>1669</v>
      </c>
      <c r="B436" t="s">
        <v>284</v>
      </c>
      <c r="C436" t="s">
        <v>1434</v>
      </c>
    </row>
    <row r="437" spans="1:3" x14ac:dyDescent="0.25">
      <c r="A437">
        <v>1778</v>
      </c>
      <c r="B437" t="s">
        <v>284</v>
      </c>
      <c r="C437" t="s">
        <v>1435</v>
      </c>
    </row>
    <row r="438" spans="1:3" x14ac:dyDescent="0.25">
      <c r="A438">
        <v>1875</v>
      </c>
      <c r="B438" t="s">
        <v>284</v>
      </c>
      <c r="C438" t="s">
        <v>1436</v>
      </c>
    </row>
    <row r="439" spans="1:3" x14ac:dyDescent="0.25">
      <c r="A439">
        <v>1770</v>
      </c>
      <c r="B439" t="s">
        <v>284</v>
      </c>
      <c r="C439" t="s">
        <v>1437</v>
      </c>
    </row>
    <row r="440" spans="1:3" x14ac:dyDescent="0.25">
      <c r="A440">
        <v>1855</v>
      </c>
      <c r="B440" t="s">
        <v>284</v>
      </c>
      <c r="C440" t="s">
        <v>1438</v>
      </c>
    </row>
    <row r="441" spans="1:3" x14ac:dyDescent="0.25">
      <c r="A441">
        <v>1893</v>
      </c>
      <c r="B441" t="s">
        <v>284</v>
      </c>
      <c r="C441" t="s">
        <v>1439</v>
      </c>
    </row>
    <row r="442" spans="1:3" x14ac:dyDescent="0.25">
      <c r="A442">
        <v>1795</v>
      </c>
      <c r="B442" t="s">
        <v>284</v>
      </c>
      <c r="C442" t="s">
        <v>1440</v>
      </c>
    </row>
    <row r="443" spans="1:3" x14ac:dyDescent="0.25">
      <c r="A443">
        <v>1784</v>
      </c>
      <c r="B443" t="s">
        <v>284</v>
      </c>
      <c r="C443" t="s">
        <v>1441</v>
      </c>
    </row>
    <row r="444" spans="1:3" x14ac:dyDescent="0.25">
      <c r="A444">
        <v>1640</v>
      </c>
      <c r="B444" t="s">
        <v>284</v>
      </c>
      <c r="C444" t="s">
        <v>1442</v>
      </c>
    </row>
    <row r="445" spans="1:3" x14ac:dyDescent="0.25">
      <c r="A445">
        <v>1901</v>
      </c>
      <c r="B445" t="s">
        <v>284</v>
      </c>
      <c r="C445" t="s">
        <v>1443</v>
      </c>
    </row>
    <row r="446" spans="1:3" x14ac:dyDescent="0.25">
      <c r="A446">
        <v>1733</v>
      </c>
      <c r="B446" t="s">
        <v>284</v>
      </c>
      <c r="C446" t="s">
        <v>1444</v>
      </c>
    </row>
    <row r="447" spans="1:3" x14ac:dyDescent="0.25">
      <c r="A447">
        <v>1793</v>
      </c>
      <c r="B447" t="s">
        <v>284</v>
      </c>
      <c r="C447" t="s">
        <v>1445</v>
      </c>
    </row>
    <row r="448" spans="1:3" x14ac:dyDescent="0.25">
      <c r="A448">
        <v>1702</v>
      </c>
      <c r="B448" t="s">
        <v>284</v>
      </c>
      <c r="C448" t="s">
        <v>1446</v>
      </c>
    </row>
    <row r="449" spans="1:3" x14ac:dyDescent="0.25">
      <c r="A449">
        <v>1841</v>
      </c>
      <c r="B449" t="s">
        <v>284</v>
      </c>
      <c r="C449" t="s">
        <v>1447</v>
      </c>
    </row>
    <row r="450" spans="1:3" x14ac:dyDescent="0.25">
      <c r="A450">
        <v>1874</v>
      </c>
      <c r="B450" t="s">
        <v>284</v>
      </c>
      <c r="C450" t="s">
        <v>1448</v>
      </c>
    </row>
    <row r="451" spans="1:3" x14ac:dyDescent="0.25">
      <c r="A451">
        <v>1670</v>
      </c>
      <c r="B451" t="s">
        <v>284</v>
      </c>
      <c r="C451" t="s">
        <v>1449</v>
      </c>
    </row>
    <row r="452" spans="1:3" x14ac:dyDescent="0.25">
      <c r="A452">
        <v>1888</v>
      </c>
      <c r="B452" t="s">
        <v>284</v>
      </c>
      <c r="C452" t="s">
        <v>1450</v>
      </c>
    </row>
    <row r="453" spans="1:3" x14ac:dyDescent="0.25">
      <c r="A453">
        <v>1725</v>
      </c>
      <c r="B453" t="s">
        <v>284</v>
      </c>
      <c r="C453" t="s">
        <v>1451</v>
      </c>
    </row>
    <row r="454" spans="1:3" x14ac:dyDescent="0.25">
      <c r="A454">
        <v>1830</v>
      </c>
      <c r="B454" t="s">
        <v>284</v>
      </c>
      <c r="C454" t="s">
        <v>1452</v>
      </c>
    </row>
    <row r="455" spans="1:3" x14ac:dyDescent="0.25">
      <c r="A455">
        <v>1732</v>
      </c>
      <c r="B455" t="s">
        <v>284</v>
      </c>
      <c r="C455" t="s">
        <v>1453</v>
      </c>
    </row>
    <row r="456" spans="1:3" x14ac:dyDescent="0.25">
      <c r="A456">
        <v>1903</v>
      </c>
      <c r="B456" t="s">
        <v>284</v>
      </c>
      <c r="C456" t="s">
        <v>174</v>
      </c>
    </row>
    <row r="457" spans="1:3" x14ac:dyDescent="0.25">
      <c r="A457">
        <v>1837</v>
      </c>
      <c r="B457" t="s">
        <v>284</v>
      </c>
      <c r="C457" t="s">
        <v>1454</v>
      </c>
    </row>
    <row r="458" spans="1:3" x14ac:dyDescent="0.25">
      <c r="A458">
        <v>1823</v>
      </c>
      <c r="B458" t="s">
        <v>284</v>
      </c>
      <c r="C458" t="s">
        <v>1455</v>
      </c>
    </row>
    <row r="459" spans="1:3" x14ac:dyDescent="0.25">
      <c r="A459">
        <v>1878</v>
      </c>
      <c r="B459" t="s">
        <v>284</v>
      </c>
      <c r="C459" t="s">
        <v>1456</v>
      </c>
    </row>
    <row r="460" spans="1:3" x14ac:dyDescent="0.25">
      <c r="A460">
        <v>1788</v>
      </c>
      <c r="B460" t="s">
        <v>284</v>
      </c>
      <c r="C460" t="s">
        <v>1457</v>
      </c>
    </row>
    <row r="461" spans="1:3" x14ac:dyDescent="0.25">
      <c r="A461">
        <v>1809</v>
      </c>
      <c r="B461" t="s">
        <v>284</v>
      </c>
      <c r="C461" t="s">
        <v>1458</v>
      </c>
    </row>
    <row r="462" spans="1:3" x14ac:dyDescent="0.25">
      <c r="A462">
        <v>1769</v>
      </c>
      <c r="B462" t="s">
        <v>284</v>
      </c>
      <c r="C462" t="s">
        <v>1459</v>
      </c>
    </row>
    <row r="463" spans="1:3" x14ac:dyDescent="0.25">
      <c r="A463">
        <v>1671</v>
      </c>
      <c r="B463" t="s">
        <v>284</v>
      </c>
      <c r="C463" t="s">
        <v>1460</v>
      </c>
    </row>
    <row r="464" spans="1:3" x14ac:dyDescent="0.25">
      <c r="A464">
        <v>1730</v>
      </c>
      <c r="B464" t="s">
        <v>284</v>
      </c>
      <c r="C464" t="s">
        <v>1461</v>
      </c>
    </row>
    <row r="465" spans="1:3" x14ac:dyDescent="0.25">
      <c r="A465">
        <v>1836</v>
      </c>
      <c r="B465" t="s">
        <v>284</v>
      </c>
      <c r="C465" t="s">
        <v>1462</v>
      </c>
    </row>
    <row r="466" spans="1:3" x14ac:dyDescent="0.25">
      <c r="A466">
        <v>1672</v>
      </c>
      <c r="B466" t="s">
        <v>284</v>
      </c>
      <c r="C466" t="s">
        <v>1463</v>
      </c>
    </row>
    <row r="467" spans="1:3" x14ac:dyDescent="0.25">
      <c r="A467">
        <v>1713</v>
      </c>
      <c r="B467" t="s">
        <v>284</v>
      </c>
      <c r="C467" t="s">
        <v>1464</v>
      </c>
    </row>
    <row r="468" spans="1:3" x14ac:dyDescent="0.25">
      <c r="A468">
        <v>1673</v>
      </c>
      <c r="B468" t="s">
        <v>284</v>
      </c>
      <c r="C468" t="s">
        <v>1465</v>
      </c>
    </row>
    <row r="469" spans="1:3" x14ac:dyDescent="0.25">
      <c r="A469">
        <v>1774</v>
      </c>
      <c r="B469" t="s">
        <v>284</v>
      </c>
      <c r="C469" t="s">
        <v>1466</v>
      </c>
    </row>
    <row r="470" spans="1:3" x14ac:dyDescent="0.25">
      <c r="A470">
        <v>1674</v>
      </c>
      <c r="B470" t="s">
        <v>284</v>
      </c>
      <c r="C470" t="s">
        <v>1467</v>
      </c>
    </row>
    <row r="471" spans="1:3" x14ac:dyDescent="0.25">
      <c r="A471">
        <v>1693</v>
      </c>
      <c r="B471" t="s">
        <v>284</v>
      </c>
      <c r="C471" t="s">
        <v>1468</v>
      </c>
    </row>
    <row r="472" spans="1:3" x14ac:dyDescent="0.25">
      <c r="A472">
        <v>1737</v>
      </c>
      <c r="B472" t="s">
        <v>284</v>
      </c>
      <c r="C472" t="s">
        <v>1469</v>
      </c>
    </row>
    <row r="473" spans="1:3" x14ac:dyDescent="0.25">
      <c r="A473">
        <v>1735</v>
      </c>
      <c r="B473" t="s">
        <v>284</v>
      </c>
      <c r="C473" t="s">
        <v>1470</v>
      </c>
    </row>
    <row r="474" spans="1:3" x14ac:dyDescent="0.25">
      <c r="A474">
        <v>1722</v>
      </c>
      <c r="B474" t="s">
        <v>284</v>
      </c>
      <c r="C474" t="s">
        <v>1471</v>
      </c>
    </row>
    <row r="475" spans="1:3" x14ac:dyDescent="0.25">
      <c r="A475">
        <v>1806</v>
      </c>
      <c r="B475" t="s">
        <v>284</v>
      </c>
      <c r="C475" t="s">
        <v>1472</v>
      </c>
    </row>
    <row r="476" spans="1:3" x14ac:dyDescent="0.25">
      <c r="A476">
        <v>1879</v>
      </c>
      <c r="B476" t="s">
        <v>284</v>
      </c>
      <c r="C476" t="s">
        <v>1473</v>
      </c>
    </row>
    <row r="477" spans="1:3" x14ac:dyDescent="0.25">
      <c r="A477">
        <v>1870</v>
      </c>
      <c r="B477" t="s">
        <v>284</v>
      </c>
      <c r="C477" t="s">
        <v>1474</v>
      </c>
    </row>
    <row r="478" spans="1:3" x14ac:dyDescent="0.25">
      <c r="A478">
        <v>1790</v>
      </c>
      <c r="B478" t="s">
        <v>284</v>
      </c>
      <c r="C478" t="s">
        <v>1475</v>
      </c>
    </row>
    <row r="479" spans="1:3" x14ac:dyDescent="0.25">
      <c r="A479">
        <v>1698</v>
      </c>
      <c r="B479" t="s">
        <v>284</v>
      </c>
      <c r="C479" t="s">
        <v>1476</v>
      </c>
    </row>
    <row r="480" spans="1:3" x14ac:dyDescent="0.25">
      <c r="A480">
        <v>1720</v>
      </c>
      <c r="B480" t="s">
        <v>284</v>
      </c>
      <c r="C480" t="s">
        <v>1477</v>
      </c>
    </row>
    <row r="481" spans="1:3" x14ac:dyDescent="0.25">
      <c r="A481">
        <v>1675</v>
      </c>
      <c r="B481" t="s">
        <v>284</v>
      </c>
      <c r="C481" t="s">
        <v>1478</v>
      </c>
    </row>
    <row r="482" spans="1:3" x14ac:dyDescent="0.25">
      <c r="A482">
        <v>1853</v>
      </c>
      <c r="B482" t="s">
        <v>284</v>
      </c>
      <c r="C482" t="s">
        <v>1479</v>
      </c>
    </row>
    <row r="483" spans="1:3" x14ac:dyDescent="0.25">
      <c r="A483">
        <v>1754</v>
      </c>
      <c r="B483" t="s">
        <v>284</v>
      </c>
      <c r="C483" t="s">
        <v>1480</v>
      </c>
    </row>
    <row r="484" spans="1:3" x14ac:dyDescent="0.25">
      <c r="A484">
        <v>1925</v>
      </c>
      <c r="B484" t="s">
        <v>284</v>
      </c>
      <c r="C484" t="s">
        <v>1481</v>
      </c>
    </row>
    <row r="485" spans="1:3" x14ac:dyDescent="0.25">
      <c r="A485">
        <v>1718</v>
      </c>
      <c r="B485" t="s">
        <v>284</v>
      </c>
      <c r="C485" t="s">
        <v>1482</v>
      </c>
    </row>
    <row r="486" spans="1:3" x14ac:dyDescent="0.25">
      <c r="A486">
        <v>1852</v>
      </c>
      <c r="B486" t="s">
        <v>284</v>
      </c>
      <c r="C486" t="s">
        <v>1483</v>
      </c>
    </row>
    <row r="487" spans="1:3" x14ac:dyDescent="0.25">
      <c r="A487">
        <v>1775</v>
      </c>
      <c r="B487" t="s">
        <v>284</v>
      </c>
      <c r="C487" t="s">
        <v>1484</v>
      </c>
    </row>
    <row r="488" spans="1:3" x14ac:dyDescent="0.25">
      <c r="A488">
        <v>1694</v>
      </c>
      <c r="B488" t="s">
        <v>284</v>
      </c>
      <c r="C488" t="s">
        <v>1485</v>
      </c>
    </row>
    <row r="489" spans="1:3" x14ac:dyDescent="0.25">
      <c r="A489">
        <v>1832</v>
      </c>
      <c r="B489" t="s">
        <v>284</v>
      </c>
      <c r="C489" t="s">
        <v>1486</v>
      </c>
    </row>
    <row r="490" spans="1:3" x14ac:dyDescent="0.25">
      <c r="A490">
        <v>1783</v>
      </c>
      <c r="B490" t="s">
        <v>284</v>
      </c>
      <c r="C490" t="s">
        <v>1487</v>
      </c>
    </row>
    <row r="491" spans="1:3" x14ac:dyDescent="0.25">
      <c r="A491">
        <v>1743</v>
      </c>
      <c r="B491" t="s">
        <v>284</v>
      </c>
      <c r="C491" t="s">
        <v>1488</v>
      </c>
    </row>
    <row r="492" spans="1:3" x14ac:dyDescent="0.25">
      <c r="A492">
        <v>1798</v>
      </c>
      <c r="B492" t="s">
        <v>284</v>
      </c>
      <c r="C492" t="s">
        <v>1489</v>
      </c>
    </row>
    <row r="493" spans="1:3" x14ac:dyDescent="0.25">
      <c r="A493">
        <v>1686</v>
      </c>
      <c r="B493" t="s">
        <v>284</v>
      </c>
      <c r="C493" t="s">
        <v>1489</v>
      </c>
    </row>
    <row r="494" spans="1:3" x14ac:dyDescent="0.25">
      <c r="A494">
        <v>1779</v>
      </c>
      <c r="B494" t="s">
        <v>284</v>
      </c>
      <c r="C494" t="s">
        <v>1490</v>
      </c>
    </row>
    <row r="495" spans="1:3" x14ac:dyDescent="0.25">
      <c r="A495">
        <v>1921</v>
      </c>
      <c r="B495" t="s">
        <v>284</v>
      </c>
      <c r="C495" t="s">
        <v>1491</v>
      </c>
    </row>
    <row r="496" spans="1:3" x14ac:dyDescent="0.25">
      <c r="A496">
        <v>1708</v>
      </c>
      <c r="B496" t="s">
        <v>284</v>
      </c>
      <c r="C496" t="s">
        <v>1492</v>
      </c>
    </row>
    <row r="497" spans="1:3" x14ac:dyDescent="0.25">
      <c r="A497">
        <v>1676</v>
      </c>
      <c r="B497" t="s">
        <v>284</v>
      </c>
      <c r="C497" t="s">
        <v>1493</v>
      </c>
    </row>
    <row r="498" spans="1:3" x14ac:dyDescent="0.25">
      <c r="A498">
        <v>1677</v>
      </c>
      <c r="B498" t="s">
        <v>284</v>
      </c>
      <c r="C498" t="s">
        <v>1494</v>
      </c>
    </row>
    <row r="499" spans="1:3" x14ac:dyDescent="0.25">
      <c r="A499">
        <v>1826</v>
      </c>
      <c r="B499" t="s">
        <v>284</v>
      </c>
      <c r="C499" t="s">
        <v>1495</v>
      </c>
    </row>
    <row r="500" spans="1:3" x14ac:dyDescent="0.25">
      <c r="A500">
        <v>1800</v>
      </c>
      <c r="B500" t="s">
        <v>284</v>
      </c>
      <c r="C500" t="s">
        <v>1496</v>
      </c>
    </row>
    <row r="501" spans="1:3" x14ac:dyDescent="0.25">
      <c r="A501">
        <v>1758</v>
      </c>
      <c r="B501" t="s">
        <v>284</v>
      </c>
      <c r="C501" t="s">
        <v>1497</v>
      </c>
    </row>
    <row r="502" spans="1:3" x14ac:dyDescent="0.25">
      <c r="A502">
        <v>1678</v>
      </c>
      <c r="B502" t="s">
        <v>284</v>
      </c>
      <c r="C502" t="s">
        <v>1498</v>
      </c>
    </row>
    <row r="503" spans="1:3" x14ac:dyDescent="0.25">
      <c r="A503">
        <v>1868</v>
      </c>
      <c r="B503" t="s">
        <v>284</v>
      </c>
      <c r="C503" t="s">
        <v>1499</v>
      </c>
    </row>
    <row r="504" spans="1:3" x14ac:dyDescent="0.25">
      <c r="A504">
        <v>1904</v>
      </c>
      <c r="B504" t="s">
        <v>284</v>
      </c>
      <c r="C504" t="s">
        <v>1500</v>
      </c>
    </row>
    <row r="505" spans="1:3" x14ac:dyDescent="0.25">
      <c r="A505">
        <v>1679</v>
      </c>
      <c r="B505" t="s">
        <v>284</v>
      </c>
      <c r="C505" t="s">
        <v>1501</v>
      </c>
    </row>
    <row r="506" spans="1:3" x14ac:dyDescent="0.25">
      <c r="A506">
        <v>1839</v>
      </c>
      <c r="B506" t="s">
        <v>284</v>
      </c>
      <c r="C506" t="s">
        <v>1502</v>
      </c>
    </row>
    <row r="507" spans="1:3" x14ac:dyDescent="0.25">
      <c r="A507">
        <v>1751</v>
      </c>
      <c r="B507" t="s">
        <v>284</v>
      </c>
      <c r="C507" t="s">
        <v>175</v>
      </c>
    </row>
    <row r="508" spans="1:3" x14ac:dyDescent="0.25">
      <c r="A508">
        <v>1928</v>
      </c>
      <c r="B508" t="s">
        <v>284</v>
      </c>
      <c r="C508" t="s">
        <v>1503</v>
      </c>
    </row>
    <row r="509" spans="1:3" x14ac:dyDescent="0.25">
      <c r="A509">
        <v>1680</v>
      </c>
      <c r="B509" t="s">
        <v>284</v>
      </c>
      <c r="C509" t="s">
        <v>1504</v>
      </c>
    </row>
    <row r="510" spans="1:3" x14ac:dyDescent="0.25">
      <c r="A510">
        <v>1757</v>
      </c>
      <c r="B510" t="s">
        <v>284</v>
      </c>
      <c r="C510" t="s">
        <v>1505</v>
      </c>
    </row>
    <row r="511" spans="1:3" x14ac:dyDescent="0.25">
      <c r="A511">
        <v>1707</v>
      </c>
      <c r="B511" t="s">
        <v>284</v>
      </c>
      <c r="C511" t="s">
        <v>1506</v>
      </c>
    </row>
    <row r="512" spans="1:3" x14ac:dyDescent="0.25">
      <c r="A512">
        <v>1822</v>
      </c>
      <c r="B512" t="s">
        <v>284</v>
      </c>
      <c r="C512" t="s">
        <v>1507</v>
      </c>
    </row>
    <row r="513" spans="1:3" x14ac:dyDescent="0.25">
      <c r="A513">
        <v>168</v>
      </c>
      <c r="B513" t="s">
        <v>285</v>
      </c>
      <c r="C513" t="s">
        <v>1508</v>
      </c>
    </row>
    <row r="514" spans="1:3" x14ac:dyDescent="0.25">
      <c r="A514">
        <v>382</v>
      </c>
      <c r="B514" t="s">
        <v>287</v>
      </c>
      <c r="C514" t="s">
        <v>81</v>
      </c>
    </row>
    <row r="515" spans="1:3" x14ac:dyDescent="0.25">
      <c r="A515">
        <v>151</v>
      </c>
      <c r="B515" t="s">
        <v>288</v>
      </c>
      <c r="C515" t="s">
        <v>82</v>
      </c>
    </row>
    <row r="516" spans="1:3" x14ac:dyDescent="0.25">
      <c r="A516">
        <v>152</v>
      </c>
      <c r="B516" t="s">
        <v>642</v>
      </c>
      <c r="C516" t="s">
        <v>185</v>
      </c>
    </row>
    <row r="517" spans="1:3" x14ac:dyDescent="0.25">
      <c r="A517">
        <v>620</v>
      </c>
      <c r="B517" t="s">
        <v>643</v>
      </c>
      <c r="C517" t="s">
        <v>1123</v>
      </c>
    </row>
    <row r="518" spans="1:3" x14ac:dyDescent="0.25">
      <c r="A518">
        <v>621</v>
      </c>
      <c r="B518" t="s">
        <v>289</v>
      </c>
      <c r="C518" t="s">
        <v>187</v>
      </c>
    </row>
    <row r="519" spans="1:3" x14ac:dyDescent="0.25">
      <c r="A519">
        <v>622</v>
      </c>
      <c r="B519" t="s">
        <v>644</v>
      </c>
      <c r="C519" t="s">
        <v>1124</v>
      </c>
    </row>
    <row r="520" spans="1:3" x14ac:dyDescent="0.25">
      <c r="A520">
        <v>623</v>
      </c>
      <c r="B520" t="s">
        <v>645</v>
      </c>
      <c r="C520" t="s">
        <v>189</v>
      </c>
    </row>
    <row r="521" spans="1:3" x14ac:dyDescent="0.25">
      <c r="A521">
        <v>624</v>
      </c>
      <c r="B521" t="s">
        <v>646</v>
      </c>
      <c r="C521" t="s">
        <v>198</v>
      </c>
    </row>
    <row r="522" spans="1:3" x14ac:dyDescent="0.25">
      <c r="A522">
        <v>625</v>
      </c>
      <c r="B522" t="s">
        <v>647</v>
      </c>
      <c r="C522" t="s">
        <v>56</v>
      </c>
    </row>
    <row r="523" spans="1:3" x14ac:dyDescent="0.25">
      <c r="A523">
        <v>627</v>
      </c>
      <c r="B523" t="s">
        <v>648</v>
      </c>
      <c r="C523" t="s">
        <v>1118</v>
      </c>
    </row>
    <row r="524" spans="1:3" x14ac:dyDescent="0.25">
      <c r="A524">
        <v>628</v>
      </c>
      <c r="B524" t="s">
        <v>649</v>
      </c>
      <c r="C524" t="s">
        <v>1126</v>
      </c>
    </row>
    <row r="525" spans="1:3" x14ac:dyDescent="0.25">
      <c r="A525">
        <v>629</v>
      </c>
      <c r="B525" t="s">
        <v>650</v>
      </c>
      <c r="C525" t="s">
        <v>192</v>
      </c>
    </row>
    <row r="526" spans="1:3" x14ac:dyDescent="0.25">
      <c r="A526">
        <v>630</v>
      </c>
      <c r="B526" t="s">
        <v>651</v>
      </c>
      <c r="C526" t="s">
        <v>1127</v>
      </c>
    </row>
    <row r="527" spans="1:3" x14ac:dyDescent="0.25">
      <c r="A527">
        <v>631</v>
      </c>
      <c r="B527" t="s">
        <v>652</v>
      </c>
      <c r="C527" t="s">
        <v>1119</v>
      </c>
    </row>
    <row r="528" spans="1:3" x14ac:dyDescent="0.25">
      <c r="A528">
        <v>632</v>
      </c>
      <c r="B528" t="s">
        <v>653</v>
      </c>
      <c r="C528" t="s">
        <v>1128</v>
      </c>
    </row>
    <row r="529" spans="1:3" x14ac:dyDescent="0.25">
      <c r="A529">
        <v>633</v>
      </c>
      <c r="B529" t="s">
        <v>654</v>
      </c>
      <c r="C529" t="s">
        <v>1120</v>
      </c>
    </row>
    <row r="530" spans="1:3" x14ac:dyDescent="0.25">
      <c r="A530">
        <v>634</v>
      </c>
      <c r="B530" t="s">
        <v>655</v>
      </c>
      <c r="C530" t="s">
        <v>1129</v>
      </c>
    </row>
    <row r="531" spans="1:3" x14ac:dyDescent="0.25">
      <c r="A531">
        <v>635</v>
      </c>
      <c r="B531" t="s">
        <v>656</v>
      </c>
      <c r="C531" t="s">
        <v>1121</v>
      </c>
    </row>
    <row r="532" spans="1:3" x14ac:dyDescent="0.25">
      <c r="A532">
        <v>636</v>
      </c>
      <c r="B532" t="s">
        <v>657</v>
      </c>
      <c r="C532" t="s">
        <v>1130</v>
      </c>
    </row>
    <row r="533" spans="1:3" x14ac:dyDescent="0.25">
      <c r="A533">
        <v>637</v>
      </c>
      <c r="B533" t="s">
        <v>658</v>
      </c>
      <c r="C533" t="s">
        <v>1122</v>
      </c>
    </row>
    <row r="534" spans="1:3" x14ac:dyDescent="0.25">
      <c r="A534">
        <v>638</v>
      </c>
      <c r="B534" t="s">
        <v>659</v>
      </c>
      <c r="C534" t="s">
        <v>1190</v>
      </c>
    </row>
    <row r="535" spans="1:3" x14ac:dyDescent="0.25">
      <c r="A535">
        <v>153</v>
      </c>
      <c r="B535" t="s">
        <v>660</v>
      </c>
      <c r="C535" t="s">
        <v>1509</v>
      </c>
    </row>
    <row r="536" spans="1:3" x14ac:dyDescent="0.25">
      <c r="A536">
        <v>154</v>
      </c>
      <c r="B536" t="s">
        <v>661</v>
      </c>
      <c r="C536" t="s">
        <v>1510</v>
      </c>
    </row>
    <row r="537" spans="1:3" x14ac:dyDescent="0.25">
      <c r="A537">
        <v>639</v>
      </c>
      <c r="B537" t="s">
        <v>662</v>
      </c>
      <c r="C537" t="s">
        <v>185</v>
      </c>
    </row>
    <row r="538" spans="1:3" x14ac:dyDescent="0.25">
      <c r="A538">
        <v>155</v>
      </c>
      <c r="B538" t="s">
        <v>663</v>
      </c>
      <c r="C538" t="s">
        <v>187</v>
      </c>
    </row>
    <row r="539" spans="1:3" x14ac:dyDescent="0.25">
      <c r="A539">
        <v>640</v>
      </c>
      <c r="B539" t="s">
        <v>664</v>
      </c>
      <c r="C539" t="s">
        <v>189</v>
      </c>
    </row>
    <row r="540" spans="1:3" x14ac:dyDescent="0.25">
      <c r="A540">
        <v>641</v>
      </c>
      <c r="B540" t="s">
        <v>665</v>
      </c>
      <c r="C540" t="s">
        <v>56</v>
      </c>
    </row>
    <row r="541" spans="1:3" x14ac:dyDescent="0.25">
      <c r="A541">
        <v>642</v>
      </c>
      <c r="B541" t="s">
        <v>666</v>
      </c>
      <c r="C541" t="s">
        <v>1118</v>
      </c>
    </row>
    <row r="542" spans="1:3" x14ac:dyDescent="0.25">
      <c r="A542">
        <v>643</v>
      </c>
      <c r="B542" t="s">
        <v>667</v>
      </c>
      <c r="C542" t="s">
        <v>192</v>
      </c>
    </row>
    <row r="543" spans="1:3" x14ac:dyDescent="0.25">
      <c r="A543">
        <v>644</v>
      </c>
      <c r="B543" t="s">
        <v>668</v>
      </c>
      <c r="C543" t="s">
        <v>1119</v>
      </c>
    </row>
    <row r="544" spans="1:3" x14ac:dyDescent="0.25">
      <c r="A544">
        <v>645</v>
      </c>
      <c r="B544" t="s">
        <v>669</v>
      </c>
      <c r="C544" t="s">
        <v>1120</v>
      </c>
    </row>
    <row r="545" spans="1:3" x14ac:dyDescent="0.25">
      <c r="A545">
        <v>646</v>
      </c>
      <c r="B545" t="s">
        <v>670</v>
      </c>
      <c r="C545" t="s">
        <v>1121</v>
      </c>
    </row>
    <row r="546" spans="1:3" x14ac:dyDescent="0.25">
      <c r="A546">
        <v>647</v>
      </c>
      <c r="B546" t="s">
        <v>671</v>
      </c>
      <c r="C546" t="s">
        <v>1122</v>
      </c>
    </row>
    <row r="547" spans="1:3" x14ac:dyDescent="0.25">
      <c r="A547">
        <v>156</v>
      </c>
      <c r="B547" t="s">
        <v>672</v>
      </c>
      <c r="C547" t="s">
        <v>1511</v>
      </c>
    </row>
    <row r="548" spans="1:3" x14ac:dyDescent="0.25">
      <c r="A548">
        <v>648</v>
      </c>
      <c r="B548" t="s">
        <v>673</v>
      </c>
      <c r="C548" t="s">
        <v>185</v>
      </c>
    </row>
    <row r="549" spans="1:3" x14ac:dyDescent="0.25">
      <c r="A549">
        <v>649</v>
      </c>
      <c r="B549" t="s">
        <v>674</v>
      </c>
      <c r="C549" t="s">
        <v>83</v>
      </c>
    </row>
    <row r="550" spans="1:3" x14ac:dyDescent="0.25">
      <c r="A550">
        <v>650</v>
      </c>
      <c r="B550" t="s">
        <v>675</v>
      </c>
      <c r="C550" t="s">
        <v>187</v>
      </c>
    </row>
    <row r="551" spans="1:3" x14ac:dyDescent="0.25">
      <c r="A551">
        <v>651</v>
      </c>
      <c r="B551" t="s">
        <v>676</v>
      </c>
      <c r="C551" t="s">
        <v>84</v>
      </c>
    </row>
    <row r="552" spans="1:3" x14ac:dyDescent="0.25">
      <c r="A552">
        <v>652</v>
      </c>
      <c r="B552" t="s">
        <v>677</v>
      </c>
      <c r="C552" t="s">
        <v>189</v>
      </c>
    </row>
    <row r="553" spans="1:3" x14ac:dyDescent="0.25">
      <c r="A553">
        <v>653</v>
      </c>
      <c r="B553" t="s">
        <v>678</v>
      </c>
      <c r="C553" t="s">
        <v>85</v>
      </c>
    </row>
    <row r="554" spans="1:3" x14ac:dyDescent="0.25">
      <c r="A554">
        <v>654</v>
      </c>
      <c r="B554" t="s">
        <v>679</v>
      </c>
      <c r="C554" t="s">
        <v>56</v>
      </c>
    </row>
    <row r="555" spans="1:3" x14ac:dyDescent="0.25">
      <c r="A555">
        <v>655</v>
      </c>
      <c r="B555" t="s">
        <v>680</v>
      </c>
      <c r="C555" t="s">
        <v>86</v>
      </c>
    </row>
    <row r="556" spans="1:3" x14ac:dyDescent="0.25">
      <c r="A556">
        <v>656</v>
      </c>
      <c r="B556" t="s">
        <v>681</v>
      </c>
      <c r="C556" t="s">
        <v>1118</v>
      </c>
    </row>
    <row r="557" spans="1:3" x14ac:dyDescent="0.25">
      <c r="A557">
        <v>657</v>
      </c>
      <c r="B557" t="s">
        <v>682</v>
      </c>
      <c r="C557" t="s">
        <v>87</v>
      </c>
    </row>
    <row r="558" spans="1:3" x14ac:dyDescent="0.25">
      <c r="A558">
        <v>658</v>
      </c>
      <c r="B558" t="s">
        <v>683</v>
      </c>
      <c r="C558" t="s">
        <v>192</v>
      </c>
    </row>
    <row r="559" spans="1:3" x14ac:dyDescent="0.25">
      <c r="A559">
        <v>659</v>
      </c>
      <c r="B559" t="s">
        <v>684</v>
      </c>
      <c r="C559" t="s">
        <v>88</v>
      </c>
    </row>
    <row r="560" spans="1:3" x14ac:dyDescent="0.25">
      <c r="A560">
        <v>660</v>
      </c>
      <c r="B560" t="s">
        <v>685</v>
      </c>
      <c r="C560" t="s">
        <v>1119</v>
      </c>
    </row>
    <row r="561" spans="1:3" x14ac:dyDescent="0.25">
      <c r="A561">
        <v>661</v>
      </c>
      <c r="B561" t="s">
        <v>686</v>
      </c>
      <c r="C561" t="s">
        <v>89</v>
      </c>
    </row>
    <row r="562" spans="1:3" x14ac:dyDescent="0.25">
      <c r="A562">
        <v>662</v>
      </c>
      <c r="B562" t="s">
        <v>687</v>
      </c>
      <c r="C562" t="s">
        <v>1512</v>
      </c>
    </row>
    <row r="563" spans="1:3" x14ac:dyDescent="0.25">
      <c r="A563">
        <v>663</v>
      </c>
      <c r="B563" t="s">
        <v>688</v>
      </c>
      <c r="C563" t="s">
        <v>90</v>
      </c>
    </row>
    <row r="564" spans="1:3" x14ac:dyDescent="0.25">
      <c r="A564">
        <v>664</v>
      </c>
      <c r="B564" t="s">
        <v>689</v>
      </c>
      <c r="C564" t="s">
        <v>1121</v>
      </c>
    </row>
    <row r="565" spans="1:3" x14ac:dyDescent="0.25">
      <c r="A565">
        <v>665</v>
      </c>
      <c r="B565" t="s">
        <v>690</v>
      </c>
      <c r="C565" t="s">
        <v>91</v>
      </c>
    </row>
    <row r="566" spans="1:3" x14ac:dyDescent="0.25">
      <c r="A566">
        <v>666</v>
      </c>
      <c r="B566" t="s">
        <v>691</v>
      </c>
      <c r="C566" t="s">
        <v>1122</v>
      </c>
    </row>
    <row r="567" spans="1:3" x14ac:dyDescent="0.25">
      <c r="A567">
        <v>667</v>
      </c>
      <c r="B567" t="s">
        <v>692</v>
      </c>
      <c r="C567" t="s">
        <v>92</v>
      </c>
    </row>
    <row r="568" spans="1:3" x14ac:dyDescent="0.25">
      <c r="A568">
        <v>668</v>
      </c>
      <c r="B568" t="s">
        <v>693</v>
      </c>
      <c r="C568" t="s">
        <v>1513</v>
      </c>
    </row>
    <row r="569" spans="1:3" x14ac:dyDescent="0.25">
      <c r="A569">
        <v>157</v>
      </c>
      <c r="B569" t="s">
        <v>694</v>
      </c>
      <c r="C569" t="s">
        <v>1514</v>
      </c>
    </row>
    <row r="570" spans="1:3" x14ac:dyDescent="0.25">
      <c r="A570">
        <v>158</v>
      </c>
      <c r="B570" t="s">
        <v>695</v>
      </c>
      <c r="C570" t="s">
        <v>1515</v>
      </c>
    </row>
    <row r="571" spans="1:3" x14ac:dyDescent="0.25">
      <c r="A571">
        <v>159</v>
      </c>
      <c r="B571" t="s">
        <v>696</v>
      </c>
      <c r="C571" t="s">
        <v>1516</v>
      </c>
    </row>
    <row r="572" spans="1:3" x14ac:dyDescent="0.25">
      <c r="A572">
        <v>169</v>
      </c>
      <c r="B572" t="s">
        <v>290</v>
      </c>
      <c r="C572" t="s">
        <v>93</v>
      </c>
    </row>
    <row r="573" spans="1:3" x14ac:dyDescent="0.25">
      <c r="A573">
        <v>170</v>
      </c>
      <c r="B573" t="s">
        <v>291</v>
      </c>
      <c r="C573" t="s">
        <v>94</v>
      </c>
    </row>
    <row r="574" spans="1:3" x14ac:dyDescent="0.25">
      <c r="A574">
        <v>171</v>
      </c>
      <c r="B574" t="s">
        <v>292</v>
      </c>
      <c r="C574" t="s">
        <v>293</v>
      </c>
    </row>
    <row r="575" spans="1:3" x14ac:dyDescent="0.25">
      <c r="A575">
        <v>172</v>
      </c>
      <c r="B575" t="s">
        <v>697</v>
      </c>
      <c r="C575" t="s">
        <v>1517</v>
      </c>
    </row>
    <row r="576" spans="1:3" x14ac:dyDescent="0.25">
      <c r="A576">
        <v>173</v>
      </c>
      <c r="B576" t="s">
        <v>698</v>
      </c>
      <c r="C576" t="s">
        <v>1518</v>
      </c>
    </row>
    <row r="577" spans="1:3" x14ac:dyDescent="0.25">
      <c r="A577">
        <v>174</v>
      </c>
      <c r="B577" t="s">
        <v>699</v>
      </c>
      <c r="C577" t="s">
        <v>1519</v>
      </c>
    </row>
    <row r="578" spans="1:3" x14ac:dyDescent="0.25">
      <c r="A578">
        <v>175</v>
      </c>
      <c r="B578" t="s">
        <v>700</v>
      </c>
      <c r="C578" t="s">
        <v>1520</v>
      </c>
    </row>
    <row r="579" spans="1:3" x14ac:dyDescent="0.25">
      <c r="A579">
        <v>176</v>
      </c>
      <c r="B579" t="s">
        <v>701</v>
      </c>
      <c r="C579" t="s">
        <v>1521</v>
      </c>
    </row>
    <row r="580" spans="1:3" x14ac:dyDescent="0.25">
      <c r="A580">
        <v>177</v>
      </c>
      <c r="B580" t="s">
        <v>702</v>
      </c>
      <c r="C580" t="s">
        <v>1522</v>
      </c>
    </row>
    <row r="581" spans="1:3" x14ac:dyDescent="0.25">
      <c r="A581">
        <v>178</v>
      </c>
      <c r="B581" t="s">
        <v>703</v>
      </c>
      <c r="C581" t="s">
        <v>1523</v>
      </c>
    </row>
    <row r="582" spans="1:3" x14ac:dyDescent="0.25">
      <c r="A582">
        <v>179</v>
      </c>
      <c r="B582" t="s">
        <v>704</v>
      </c>
      <c r="C582" t="s">
        <v>1769</v>
      </c>
    </row>
    <row r="583" spans="1:3" x14ac:dyDescent="0.25">
      <c r="A583">
        <v>180</v>
      </c>
      <c r="B583" t="s">
        <v>705</v>
      </c>
      <c r="C583" t="s">
        <v>1524</v>
      </c>
    </row>
    <row r="584" spans="1:3" x14ac:dyDescent="0.25">
      <c r="A584">
        <v>181</v>
      </c>
      <c r="B584" t="s">
        <v>706</v>
      </c>
      <c r="C584" t="s">
        <v>1525</v>
      </c>
    </row>
    <row r="585" spans="1:3" x14ac:dyDescent="0.25">
      <c r="A585">
        <v>182</v>
      </c>
      <c r="B585" t="s">
        <v>707</v>
      </c>
      <c r="C585" t="s">
        <v>1526</v>
      </c>
    </row>
    <row r="586" spans="1:3" x14ac:dyDescent="0.25">
      <c r="A586">
        <v>183</v>
      </c>
      <c r="B586" t="s">
        <v>708</v>
      </c>
      <c r="C586" t="s">
        <v>1527</v>
      </c>
    </row>
    <row r="587" spans="1:3" x14ac:dyDescent="0.25">
      <c r="A587">
        <v>184</v>
      </c>
      <c r="B587" t="s">
        <v>709</v>
      </c>
      <c r="C587" t="s">
        <v>1528</v>
      </c>
    </row>
    <row r="588" spans="1:3" x14ac:dyDescent="0.25">
      <c r="A588">
        <v>479</v>
      </c>
      <c r="B588" t="s">
        <v>710</v>
      </c>
      <c r="C588" t="s">
        <v>1529</v>
      </c>
    </row>
    <row r="589" spans="1:3" x14ac:dyDescent="0.25">
      <c r="A589">
        <v>481</v>
      </c>
      <c r="B589" t="s">
        <v>711</v>
      </c>
      <c r="C589" t="s">
        <v>1530</v>
      </c>
    </row>
    <row r="590" spans="1:3" x14ac:dyDescent="0.25">
      <c r="A590">
        <v>483</v>
      </c>
      <c r="B590" t="s">
        <v>294</v>
      </c>
      <c r="C590" t="s">
        <v>295</v>
      </c>
    </row>
    <row r="591" spans="1:3" x14ac:dyDescent="0.25">
      <c r="A591">
        <v>485</v>
      </c>
      <c r="B591" t="s">
        <v>296</v>
      </c>
      <c r="C591" t="s">
        <v>297</v>
      </c>
    </row>
    <row r="592" spans="1:3" x14ac:dyDescent="0.25">
      <c r="A592">
        <v>487</v>
      </c>
      <c r="B592" t="s">
        <v>298</v>
      </c>
      <c r="C592" t="s">
        <v>299</v>
      </c>
    </row>
    <row r="593" spans="1:3" x14ac:dyDescent="0.25">
      <c r="A593">
        <v>488</v>
      </c>
      <c r="B593" t="s">
        <v>300</v>
      </c>
      <c r="C593" t="s">
        <v>301</v>
      </c>
    </row>
    <row r="594" spans="1:3" x14ac:dyDescent="0.25">
      <c r="A594">
        <v>489</v>
      </c>
      <c r="B594" t="s">
        <v>302</v>
      </c>
      <c r="C594" t="s">
        <v>303</v>
      </c>
    </row>
    <row r="595" spans="1:3" x14ac:dyDescent="0.25">
      <c r="A595">
        <v>490</v>
      </c>
      <c r="B595" t="s">
        <v>712</v>
      </c>
      <c r="C595" t="s">
        <v>95</v>
      </c>
    </row>
    <row r="596" spans="1:3" x14ac:dyDescent="0.25">
      <c r="A596">
        <v>491</v>
      </c>
      <c r="B596" t="s">
        <v>304</v>
      </c>
      <c r="C596" t="s">
        <v>305</v>
      </c>
    </row>
    <row r="597" spans="1:3" x14ac:dyDescent="0.25">
      <c r="A597">
        <v>508</v>
      </c>
      <c r="B597" t="s">
        <v>306</v>
      </c>
      <c r="C597" t="s">
        <v>96</v>
      </c>
    </row>
    <row r="598" spans="1:3" x14ac:dyDescent="0.25">
      <c r="A598">
        <v>669</v>
      </c>
      <c r="B598" t="s">
        <v>713</v>
      </c>
      <c r="C598" t="s">
        <v>97</v>
      </c>
    </row>
    <row r="599" spans="1:3" x14ac:dyDescent="0.25">
      <c r="A599">
        <v>670</v>
      </c>
      <c r="B599" t="s">
        <v>714</v>
      </c>
      <c r="C599" t="s">
        <v>1531</v>
      </c>
    </row>
    <row r="600" spans="1:3" x14ac:dyDescent="0.25">
      <c r="A600">
        <v>671</v>
      </c>
      <c r="B600" t="s">
        <v>715</v>
      </c>
      <c r="C600" t="s">
        <v>98</v>
      </c>
    </row>
    <row r="601" spans="1:3" x14ac:dyDescent="0.25">
      <c r="A601">
        <v>672</v>
      </c>
      <c r="B601" t="s">
        <v>716</v>
      </c>
      <c r="C601" t="s">
        <v>99</v>
      </c>
    </row>
    <row r="602" spans="1:3" x14ac:dyDescent="0.25">
      <c r="A602">
        <v>673</v>
      </c>
      <c r="B602" t="s">
        <v>717</v>
      </c>
      <c r="C602" t="s">
        <v>1532</v>
      </c>
    </row>
    <row r="603" spans="1:3" x14ac:dyDescent="0.25">
      <c r="A603">
        <v>674</v>
      </c>
      <c r="B603" t="s">
        <v>718</v>
      </c>
      <c r="C603" t="s">
        <v>1533</v>
      </c>
    </row>
    <row r="604" spans="1:3" x14ac:dyDescent="0.25">
      <c r="A604">
        <v>675</v>
      </c>
      <c r="B604" t="s">
        <v>719</v>
      </c>
      <c r="C604" t="s">
        <v>1534</v>
      </c>
    </row>
    <row r="605" spans="1:3" x14ac:dyDescent="0.25">
      <c r="A605">
        <v>949</v>
      </c>
      <c r="B605" t="s">
        <v>720</v>
      </c>
      <c r="C605" t="s">
        <v>100</v>
      </c>
    </row>
    <row r="606" spans="1:3" x14ac:dyDescent="0.25">
      <c r="A606">
        <v>950</v>
      </c>
      <c r="B606" t="s">
        <v>307</v>
      </c>
      <c r="C606" t="s">
        <v>101</v>
      </c>
    </row>
    <row r="607" spans="1:3" x14ac:dyDescent="0.25">
      <c r="A607">
        <v>1639</v>
      </c>
      <c r="B607" t="s">
        <v>721</v>
      </c>
      <c r="C607" t="s">
        <v>1535</v>
      </c>
    </row>
    <row r="608" spans="1:3" x14ac:dyDescent="0.25">
      <c r="A608">
        <v>1932</v>
      </c>
      <c r="B608" t="s">
        <v>308</v>
      </c>
      <c r="C608" t="s">
        <v>1771</v>
      </c>
    </row>
    <row r="609" spans="1:3" x14ac:dyDescent="0.25">
      <c r="A609">
        <v>185</v>
      </c>
      <c r="B609" t="s">
        <v>309</v>
      </c>
      <c r="C609" t="s">
        <v>102</v>
      </c>
    </row>
    <row r="610" spans="1:3" x14ac:dyDescent="0.25">
      <c r="A610">
        <v>186</v>
      </c>
      <c r="B610" t="s">
        <v>310</v>
      </c>
      <c r="C610" t="s">
        <v>103</v>
      </c>
    </row>
    <row r="611" spans="1:3" x14ac:dyDescent="0.25">
      <c r="A611">
        <v>187</v>
      </c>
      <c r="B611" t="s">
        <v>722</v>
      </c>
      <c r="C611" t="s">
        <v>1536</v>
      </c>
    </row>
    <row r="612" spans="1:3" x14ac:dyDescent="0.25">
      <c r="A612">
        <v>188</v>
      </c>
      <c r="B612" t="s">
        <v>311</v>
      </c>
      <c r="C612" t="s">
        <v>104</v>
      </c>
    </row>
    <row r="613" spans="1:3" x14ac:dyDescent="0.25">
      <c r="A613">
        <v>189</v>
      </c>
      <c r="B613" t="s">
        <v>723</v>
      </c>
      <c r="C613" t="s">
        <v>1537</v>
      </c>
    </row>
    <row r="614" spans="1:3" x14ac:dyDescent="0.25">
      <c r="A614">
        <v>676</v>
      </c>
      <c r="B614" t="s">
        <v>312</v>
      </c>
      <c r="C614" t="s">
        <v>313</v>
      </c>
    </row>
    <row r="615" spans="1:3" x14ac:dyDescent="0.25">
      <c r="A615">
        <v>677</v>
      </c>
      <c r="B615" t="s">
        <v>724</v>
      </c>
      <c r="C615" t="s">
        <v>1538</v>
      </c>
    </row>
    <row r="616" spans="1:3" x14ac:dyDescent="0.25">
      <c r="A616">
        <v>678</v>
      </c>
      <c r="B616" t="s">
        <v>725</v>
      </c>
      <c r="C616" t="s">
        <v>1539</v>
      </c>
    </row>
    <row r="617" spans="1:3" x14ac:dyDescent="0.25">
      <c r="A617">
        <v>679</v>
      </c>
      <c r="B617" t="s">
        <v>726</v>
      </c>
      <c r="C617" t="s">
        <v>105</v>
      </c>
    </row>
    <row r="618" spans="1:3" x14ac:dyDescent="0.25">
      <c r="A618">
        <v>680</v>
      </c>
      <c r="B618" t="s">
        <v>727</v>
      </c>
      <c r="C618" t="s">
        <v>1540</v>
      </c>
    </row>
    <row r="619" spans="1:3" x14ac:dyDescent="0.25">
      <c r="A619">
        <v>681</v>
      </c>
      <c r="B619" t="s">
        <v>728</v>
      </c>
      <c r="C619" t="s">
        <v>1541</v>
      </c>
    </row>
    <row r="620" spans="1:3" x14ac:dyDescent="0.25">
      <c r="A620">
        <v>682</v>
      </c>
      <c r="B620" t="s">
        <v>729</v>
      </c>
      <c r="C620" t="s">
        <v>1542</v>
      </c>
    </row>
    <row r="621" spans="1:3" x14ac:dyDescent="0.25">
      <c r="A621">
        <v>951</v>
      </c>
      <c r="B621" t="s">
        <v>730</v>
      </c>
      <c r="C621" t="s">
        <v>1543</v>
      </c>
    </row>
    <row r="622" spans="1:3" x14ac:dyDescent="0.25">
      <c r="A622">
        <v>1055</v>
      </c>
      <c r="B622" t="s">
        <v>731</v>
      </c>
      <c r="C622" t="s">
        <v>1544</v>
      </c>
    </row>
    <row r="623" spans="1:3" x14ac:dyDescent="0.25">
      <c r="A623">
        <v>190</v>
      </c>
      <c r="B623" t="s">
        <v>314</v>
      </c>
      <c r="C623" t="s">
        <v>106</v>
      </c>
    </row>
    <row r="624" spans="1:3" x14ac:dyDescent="0.25">
      <c r="A624">
        <v>191</v>
      </c>
      <c r="B624" t="s">
        <v>315</v>
      </c>
      <c r="C624" t="s">
        <v>107</v>
      </c>
    </row>
    <row r="625" spans="1:3" x14ac:dyDescent="0.25">
      <c r="A625">
        <v>192</v>
      </c>
      <c r="B625" t="s">
        <v>316</v>
      </c>
      <c r="C625" t="s">
        <v>108</v>
      </c>
    </row>
    <row r="626" spans="1:3" x14ac:dyDescent="0.25">
      <c r="A626">
        <v>494</v>
      </c>
      <c r="B626" t="s">
        <v>732</v>
      </c>
      <c r="C626" t="s">
        <v>1545</v>
      </c>
    </row>
    <row r="627" spans="1:3" x14ac:dyDescent="0.25">
      <c r="A627">
        <v>194</v>
      </c>
      <c r="B627" t="s">
        <v>319</v>
      </c>
      <c r="C627" t="s">
        <v>1546</v>
      </c>
    </row>
    <row r="628" spans="1:3" x14ac:dyDescent="0.25">
      <c r="A628">
        <v>195</v>
      </c>
      <c r="B628" t="s">
        <v>320</v>
      </c>
      <c r="C628" t="s">
        <v>1547</v>
      </c>
    </row>
    <row r="629" spans="1:3" x14ac:dyDescent="0.25">
      <c r="A629">
        <v>196</v>
      </c>
      <c r="B629" t="s">
        <v>321</v>
      </c>
      <c r="C629" t="s">
        <v>1548</v>
      </c>
    </row>
    <row r="630" spans="1:3" x14ac:dyDescent="0.25">
      <c r="A630">
        <v>197</v>
      </c>
      <c r="B630" t="s">
        <v>322</v>
      </c>
      <c r="C630" t="s">
        <v>1549</v>
      </c>
    </row>
    <row r="631" spans="1:3" x14ac:dyDescent="0.25">
      <c r="A631">
        <v>198</v>
      </c>
      <c r="B631" t="s">
        <v>323</v>
      </c>
      <c r="C631" t="s">
        <v>1550</v>
      </c>
    </row>
    <row r="632" spans="1:3" x14ac:dyDescent="0.25">
      <c r="A632">
        <v>199</v>
      </c>
      <c r="B632" t="s">
        <v>324</v>
      </c>
      <c r="C632" t="s">
        <v>1551</v>
      </c>
    </row>
    <row r="633" spans="1:3" x14ac:dyDescent="0.25">
      <c r="A633">
        <v>495</v>
      </c>
      <c r="B633" t="s">
        <v>733</v>
      </c>
      <c r="C633" t="s">
        <v>1552</v>
      </c>
    </row>
    <row r="634" spans="1:3" x14ac:dyDescent="0.25">
      <c r="A634">
        <v>496</v>
      </c>
      <c r="B634" t="s">
        <v>734</v>
      </c>
      <c r="C634" t="s">
        <v>1553</v>
      </c>
    </row>
    <row r="635" spans="1:3" x14ac:dyDescent="0.25">
      <c r="A635">
        <v>200</v>
      </c>
      <c r="B635" t="s">
        <v>325</v>
      </c>
      <c r="C635" t="s">
        <v>109</v>
      </c>
    </row>
    <row r="636" spans="1:3" x14ac:dyDescent="0.25">
      <c r="A636">
        <v>201</v>
      </c>
      <c r="B636" t="s">
        <v>735</v>
      </c>
      <c r="C636" t="s">
        <v>1554</v>
      </c>
    </row>
    <row r="637" spans="1:3" x14ac:dyDescent="0.25">
      <c r="A637">
        <v>626</v>
      </c>
      <c r="B637" t="s">
        <v>736</v>
      </c>
      <c r="C637" t="s">
        <v>1555</v>
      </c>
    </row>
    <row r="638" spans="1:3" x14ac:dyDescent="0.25">
      <c r="A638">
        <v>202</v>
      </c>
      <c r="B638" t="s">
        <v>326</v>
      </c>
      <c r="C638" t="s">
        <v>110</v>
      </c>
    </row>
    <row r="639" spans="1:3" x14ac:dyDescent="0.25">
      <c r="A639">
        <v>684</v>
      </c>
      <c r="B639" t="s">
        <v>737</v>
      </c>
      <c r="C639" t="s">
        <v>1556</v>
      </c>
    </row>
    <row r="640" spans="1:3" x14ac:dyDescent="0.25">
      <c r="A640">
        <v>685</v>
      </c>
      <c r="B640" t="s">
        <v>329</v>
      </c>
      <c r="C640" t="s">
        <v>112</v>
      </c>
    </row>
    <row r="641" spans="1:3" x14ac:dyDescent="0.25">
      <c r="A641">
        <v>686</v>
      </c>
      <c r="B641" t="s">
        <v>330</v>
      </c>
      <c r="C641" t="s">
        <v>331</v>
      </c>
    </row>
    <row r="642" spans="1:3" x14ac:dyDescent="0.25">
      <c r="A642">
        <v>687</v>
      </c>
      <c r="B642" t="s">
        <v>332</v>
      </c>
      <c r="C642" t="s">
        <v>113</v>
      </c>
    </row>
    <row r="643" spans="1:3" x14ac:dyDescent="0.25">
      <c r="A643">
        <v>688</v>
      </c>
      <c r="B643" t="s">
        <v>333</v>
      </c>
      <c r="C643" t="s">
        <v>114</v>
      </c>
    </row>
    <row r="644" spans="1:3" x14ac:dyDescent="0.25">
      <c r="A644">
        <v>689</v>
      </c>
      <c r="B644" t="s">
        <v>738</v>
      </c>
      <c r="C644" t="s">
        <v>1557</v>
      </c>
    </row>
    <row r="645" spans="1:3" x14ac:dyDescent="0.25">
      <c r="A645">
        <v>690</v>
      </c>
      <c r="B645" t="s">
        <v>739</v>
      </c>
      <c r="C645" t="s">
        <v>1558</v>
      </c>
    </row>
    <row r="646" spans="1:3" x14ac:dyDescent="0.25">
      <c r="A646">
        <v>207</v>
      </c>
      <c r="B646" t="s">
        <v>740</v>
      </c>
      <c r="C646" t="s">
        <v>1559</v>
      </c>
    </row>
    <row r="647" spans="1:3" x14ac:dyDescent="0.25">
      <c r="A647">
        <v>210</v>
      </c>
      <c r="B647" t="s">
        <v>743</v>
      </c>
      <c r="C647" t="s">
        <v>1562</v>
      </c>
    </row>
    <row r="648" spans="1:3" x14ac:dyDescent="0.25">
      <c r="A648">
        <v>211</v>
      </c>
      <c r="B648" t="s">
        <v>744</v>
      </c>
      <c r="C648" t="s">
        <v>1563</v>
      </c>
    </row>
    <row r="649" spans="1:3" x14ac:dyDescent="0.25">
      <c r="A649">
        <v>212</v>
      </c>
      <c r="B649" t="s">
        <v>745</v>
      </c>
      <c r="C649" t="s">
        <v>1564</v>
      </c>
    </row>
    <row r="650" spans="1:3" x14ac:dyDescent="0.25">
      <c r="A650">
        <v>213</v>
      </c>
      <c r="B650" t="s">
        <v>746</v>
      </c>
      <c r="C650" t="s">
        <v>1565</v>
      </c>
    </row>
    <row r="651" spans="1:3" x14ac:dyDescent="0.25">
      <c r="A651">
        <v>214</v>
      </c>
      <c r="B651" t="s">
        <v>747</v>
      </c>
      <c r="C651" t="s">
        <v>1566</v>
      </c>
    </row>
    <row r="652" spans="1:3" x14ac:dyDescent="0.25">
      <c r="A652">
        <v>215</v>
      </c>
      <c r="B652" t="s">
        <v>748</v>
      </c>
      <c r="C652" t="s">
        <v>1567</v>
      </c>
    </row>
    <row r="653" spans="1:3" x14ac:dyDescent="0.25">
      <c r="A653">
        <v>216</v>
      </c>
      <c r="B653" t="s">
        <v>749</v>
      </c>
      <c r="C653" t="s">
        <v>1568</v>
      </c>
    </row>
    <row r="654" spans="1:3" x14ac:dyDescent="0.25">
      <c r="A654">
        <v>161</v>
      </c>
      <c r="B654" t="s">
        <v>751</v>
      </c>
      <c r="C654" t="s">
        <v>1569</v>
      </c>
    </row>
    <row r="655" spans="1:3" x14ac:dyDescent="0.25">
      <c r="A655">
        <v>163</v>
      </c>
      <c r="B655" t="s">
        <v>753</v>
      </c>
      <c r="C655" t="s">
        <v>1170</v>
      </c>
    </row>
    <row r="656" spans="1:3" x14ac:dyDescent="0.25">
      <c r="A656">
        <v>691</v>
      </c>
      <c r="B656" t="s">
        <v>754</v>
      </c>
      <c r="C656" t="s">
        <v>1571</v>
      </c>
    </row>
    <row r="657" spans="1:3" x14ac:dyDescent="0.25">
      <c r="A657">
        <v>693</v>
      </c>
      <c r="B657" t="s">
        <v>756</v>
      </c>
      <c r="C657" t="s">
        <v>1573</v>
      </c>
    </row>
    <row r="658" spans="1:3" x14ac:dyDescent="0.25">
      <c r="A658">
        <v>694</v>
      </c>
      <c r="B658" t="s">
        <v>757</v>
      </c>
      <c r="C658" t="s">
        <v>1574</v>
      </c>
    </row>
    <row r="659" spans="1:3" x14ac:dyDescent="0.25">
      <c r="A659">
        <v>695</v>
      </c>
      <c r="B659" t="s">
        <v>758</v>
      </c>
      <c r="C659" t="s">
        <v>1575</v>
      </c>
    </row>
    <row r="660" spans="1:3" x14ac:dyDescent="0.25">
      <c r="A660">
        <v>696</v>
      </c>
      <c r="B660" t="s">
        <v>759</v>
      </c>
      <c r="C660" t="s">
        <v>1576</v>
      </c>
    </row>
    <row r="661" spans="1:3" x14ac:dyDescent="0.25">
      <c r="A661">
        <v>697</v>
      </c>
      <c r="B661" t="s">
        <v>760</v>
      </c>
      <c r="C661" t="s">
        <v>1770</v>
      </c>
    </row>
    <row r="662" spans="1:3" x14ac:dyDescent="0.25">
      <c r="A662">
        <v>698</v>
      </c>
      <c r="B662" t="s">
        <v>761</v>
      </c>
      <c r="C662" t="s">
        <v>1577</v>
      </c>
    </row>
    <row r="663" spans="1:3" x14ac:dyDescent="0.25">
      <c r="A663">
        <v>700</v>
      </c>
      <c r="B663" t="s">
        <v>762</v>
      </c>
      <c r="C663" t="s">
        <v>1578</v>
      </c>
    </row>
    <row r="664" spans="1:3" x14ac:dyDescent="0.25">
      <c r="A664">
        <v>701</v>
      </c>
      <c r="B664" t="s">
        <v>763</v>
      </c>
      <c r="C664" t="s">
        <v>1579</v>
      </c>
    </row>
    <row r="665" spans="1:3" x14ac:dyDescent="0.25">
      <c r="A665">
        <v>702</v>
      </c>
      <c r="B665" t="s">
        <v>764</v>
      </c>
      <c r="C665" t="s">
        <v>1580</v>
      </c>
    </row>
    <row r="666" spans="1:3" x14ac:dyDescent="0.25">
      <c r="A666">
        <v>703</v>
      </c>
      <c r="B666" t="s">
        <v>765</v>
      </c>
      <c r="C666" t="s">
        <v>1581</v>
      </c>
    </row>
    <row r="667" spans="1:3" x14ac:dyDescent="0.25">
      <c r="A667">
        <v>704</v>
      </c>
      <c r="B667" t="s">
        <v>766</v>
      </c>
      <c r="C667" t="s">
        <v>115</v>
      </c>
    </row>
    <row r="668" spans="1:3" x14ac:dyDescent="0.25">
      <c r="A668">
        <v>1930</v>
      </c>
      <c r="B668" t="s">
        <v>1772</v>
      </c>
      <c r="C668" t="s">
        <v>1582</v>
      </c>
    </row>
    <row r="669" spans="1:3" x14ac:dyDescent="0.25">
      <c r="A669">
        <v>503</v>
      </c>
      <c r="B669">
        <v>2.2000000000000002</v>
      </c>
      <c r="C669" t="s">
        <v>335</v>
      </c>
    </row>
    <row r="670" spans="1:3" x14ac:dyDescent="0.25">
      <c r="A670">
        <v>217</v>
      </c>
      <c r="B670" t="s">
        <v>336</v>
      </c>
      <c r="C670" t="s">
        <v>337</v>
      </c>
    </row>
    <row r="671" spans="1:3" x14ac:dyDescent="0.25">
      <c r="A671">
        <v>218</v>
      </c>
      <c r="B671" t="s">
        <v>338</v>
      </c>
      <c r="C671" t="s">
        <v>81</v>
      </c>
    </row>
    <row r="672" spans="1:3" x14ac:dyDescent="0.25">
      <c r="A672">
        <v>705</v>
      </c>
      <c r="B672" t="s">
        <v>767</v>
      </c>
      <c r="C672" t="s">
        <v>185</v>
      </c>
    </row>
    <row r="673" spans="1:3" x14ac:dyDescent="0.25">
      <c r="A673">
        <v>706</v>
      </c>
      <c r="B673" t="s">
        <v>768</v>
      </c>
      <c r="C673" t="s">
        <v>83</v>
      </c>
    </row>
    <row r="674" spans="1:3" x14ac:dyDescent="0.25">
      <c r="A674">
        <v>707</v>
      </c>
      <c r="B674" t="s">
        <v>769</v>
      </c>
      <c r="C674" t="s">
        <v>187</v>
      </c>
    </row>
    <row r="675" spans="1:3" x14ac:dyDescent="0.25">
      <c r="A675">
        <v>708</v>
      </c>
      <c r="B675" t="s">
        <v>770</v>
      </c>
      <c r="C675" t="s">
        <v>84</v>
      </c>
    </row>
    <row r="676" spans="1:3" x14ac:dyDescent="0.25">
      <c r="A676">
        <v>709</v>
      </c>
      <c r="B676" t="s">
        <v>771</v>
      </c>
      <c r="C676" t="s">
        <v>189</v>
      </c>
    </row>
    <row r="677" spans="1:3" x14ac:dyDescent="0.25">
      <c r="A677">
        <v>710</v>
      </c>
      <c r="B677" t="s">
        <v>772</v>
      </c>
      <c r="C677" t="s">
        <v>85</v>
      </c>
    </row>
    <row r="678" spans="1:3" x14ac:dyDescent="0.25">
      <c r="A678">
        <v>711</v>
      </c>
      <c r="B678" t="s">
        <v>773</v>
      </c>
      <c r="C678" t="s">
        <v>56</v>
      </c>
    </row>
    <row r="679" spans="1:3" x14ac:dyDescent="0.25">
      <c r="A679">
        <v>712</v>
      </c>
      <c r="B679" t="s">
        <v>774</v>
      </c>
      <c r="C679" t="s">
        <v>86</v>
      </c>
    </row>
    <row r="680" spans="1:3" x14ac:dyDescent="0.25">
      <c r="A680">
        <v>713</v>
      </c>
      <c r="B680" t="s">
        <v>775</v>
      </c>
      <c r="C680" t="s">
        <v>1583</v>
      </c>
    </row>
    <row r="681" spans="1:3" x14ac:dyDescent="0.25">
      <c r="A681">
        <v>714</v>
      </c>
      <c r="B681" t="s">
        <v>776</v>
      </c>
      <c r="C681" t="s">
        <v>87</v>
      </c>
    </row>
    <row r="682" spans="1:3" x14ac:dyDescent="0.25">
      <c r="A682">
        <v>715</v>
      </c>
      <c r="B682" t="s">
        <v>777</v>
      </c>
      <c r="C682" t="s">
        <v>192</v>
      </c>
    </row>
    <row r="683" spans="1:3" x14ac:dyDescent="0.25">
      <c r="A683">
        <v>716</v>
      </c>
      <c r="B683" t="s">
        <v>778</v>
      </c>
      <c r="C683" t="s">
        <v>88</v>
      </c>
    </row>
    <row r="684" spans="1:3" x14ac:dyDescent="0.25">
      <c r="A684">
        <v>717</v>
      </c>
      <c r="B684" t="s">
        <v>779</v>
      </c>
      <c r="C684" t="s">
        <v>1119</v>
      </c>
    </row>
    <row r="685" spans="1:3" x14ac:dyDescent="0.25">
      <c r="A685">
        <v>718</v>
      </c>
      <c r="B685" t="s">
        <v>780</v>
      </c>
      <c r="C685" t="s">
        <v>89</v>
      </c>
    </row>
    <row r="686" spans="1:3" x14ac:dyDescent="0.25">
      <c r="A686">
        <v>719</v>
      </c>
      <c r="B686" t="s">
        <v>781</v>
      </c>
      <c r="C686" t="s">
        <v>1120</v>
      </c>
    </row>
    <row r="687" spans="1:3" x14ac:dyDescent="0.25">
      <c r="A687">
        <v>720</v>
      </c>
      <c r="B687" t="s">
        <v>782</v>
      </c>
      <c r="C687" t="s">
        <v>90</v>
      </c>
    </row>
    <row r="688" spans="1:3" x14ac:dyDescent="0.25">
      <c r="A688">
        <v>721</v>
      </c>
      <c r="B688" t="s">
        <v>783</v>
      </c>
      <c r="C688" t="s">
        <v>1121</v>
      </c>
    </row>
    <row r="689" spans="1:3" x14ac:dyDescent="0.25">
      <c r="A689">
        <v>722</v>
      </c>
      <c r="B689" t="s">
        <v>784</v>
      </c>
      <c r="C689" t="s">
        <v>91</v>
      </c>
    </row>
    <row r="690" spans="1:3" x14ac:dyDescent="0.25">
      <c r="A690">
        <v>723</v>
      </c>
      <c r="B690" t="s">
        <v>785</v>
      </c>
      <c r="C690" t="s">
        <v>1122</v>
      </c>
    </row>
    <row r="691" spans="1:3" x14ac:dyDescent="0.25">
      <c r="A691">
        <v>724</v>
      </c>
      <c r="B691" t="s">
        <v>786</v>
      </c>
      <c r="C691" t="s">
        <v>92</v>
      </c>
    </row>
    <row r="692" spans="1:3" x14ac:dyDescent="0.25">
      <c r="A692">
        <v>1046</v>
      </c>
      <c r="B692" t="s">
        <v>341</v>
      </c>
      <c r="C692" t="s">
        <v>1584</v>
      </c>
    </row>
    <row r="693" spans="1:3" x14ac:dyDescent="0.25">
      <c r="A693">
        <v>220</v>
      </c>
      <c r="B693" t="s">
        <v>787</v>
      </c>
      <c r="C693" t="s">
        <v>1585</v>
      </c>
    </row>
    <row r="694" spans="1:3" x14ac:dyDescent="0.25">
      <c r="A694">
        <v>221</v>
      </c>
      <c r="B694" t="s">
        <v>788</v>
      </c>
      <c r="C694" t="s">
        <v>1586</v>
      </c>
    </row>
    <row r="695" spans="1:3" x14ac:dyDescent="0.25">
      <c r="A695">
        <v>222</v>
      </c>
      <c r="B695" t="s">
        <v>789</v>
      </c>
      <c r="C695" t="s">
        <v>1587</v>
      </c>
    </row>
    <row r="696" spans="1:3" x14ac:dyDescent="0.25">
      <c r="A696">
        <v>223</v>
      </c>
      <c r="B696" t="s">
        <v>790</v>
      </c>
      <c r="C696" t="s">
        <v>1588</v>
      </c>
    </row>
    <row r="697" spans="1:3" x14ac:dyDescent="0.25">
      <c r="A697">
        <v>225</v>
      </c>
      <c r="B697" t="s">
        <v>791</v>
      </c>
      <c r="C697" t="s">
        <v>1516</v>
      </c>
    </row>
    <row r="698" spans="1:3" x14ac:dyDescent="0.25">
      <c r="A698">
        <v>226</v>
      </c>
      <c r="B698" t="s">
        <v>792</v>
      </c>
      <c r="C698" t="s">
        <v>1589</v>
      </c>
    </row>
    <row r="699" spans="1:3" x14ac:dyDescent="0.25">
      <c r="A699">
        <v>224</v>
      </c>
      <c r="B699" t="s">
        <v>793</v>
      </c>
      <c r="C699" t="s">
        <v>1511</v>
      </c>
    </row>
    <row r="700" spans="1:3" x14ac:dyDescent="0.25">
      <c r="A700">
        <v>726</v>
      </c>
      <c r="B700" t="s">
        <v>794</v>
      </c>
      <c r="C700" t="s">
        <v>185</v>
      </c>
    </row>
    <row r="701" spans="1:3" x14ac:dyDescent="0.25">
      <c r="A701">
        <v>727</v>
      </c>
      <c r="B701" t="s">
        <v>795</v>
      </c>
      <c r="C701" t="s">
        <v>83</v>
      </c>
    </row>
    <row r="702" spans="1:3" x14ac:dyDescent="0.25">
      <c r="A702">
        <v>728</v>
      </c>
      <c r="B702" t="s">
        <v>796</v>
      </c>
      <c r="C702" t="s">
        <v>187</v>
      </c>
    </row>
    <row r="703" spans="1:3" x14ac:dyDescent="0.25">
      <c r="A703">
        <v>729</v>
      </c>
      <c r="B703" t="s">
        <v>797</v>
      </c>
      <c r="C703" t="s">
        <v>84</v>
      </c>
    </row>
    <row r="704" spans="1:3" x14ac:dyDescent="0.25">
      <c r="A704">
        <v>730</v>
      </c>
      <c r="B704" t="s">
        <v>798</v>
      </c>
      <c r="C704" t="s">
        <v>189</v>
      </c>
    </row>
    <row r="705" spans="1:3" x14ac:dyDescent="0.25">
      <c r="A705">
        <v>731</v>
      </c>
      <c r="B705" t="s">
        <v>799</v>
      </c>
      <c r="C705" t="s">
        <v>85</v>
      </c>
    </row>
    <row r="706" spans="1:3" x14ac:dyDescent="0.25">
      <c r="A706">
        <v>732</v>
      </c>
      <c r="B706" t="s">
        <v>800</v>
      </c>
      <c r="C706" t="s">
        <v>56</v>
      </c>
    </row>
    <row r="707" spans="1:3" x14ac:dyDescent="0.25">
      <c r="A707">
        <v>733</v>
      </c>
      <c r="B707" t="s">
        <v>801</v>
      </c>
      <c r="C707" t="s">
        <v>86</v>
      </c>
    </row>
    <row r="708" spans="1:3" x14ac:dyDescent="0.25">
      <c r="A708">
        <v>734</v>
      </c>
      <c r="B708" t="s">
        <v>802</v>
      </c>
      <c r="C708" t="s">
        <v>1118</v>
      </c>
    </row>
    <row r="709" spans="1:3" x14ac:dyDescent="0.25">
      <c r="A709">
        <v>735</v>
      </c>
      <c r="B709" t="s">
        <v>803</v>
      </c>
      <c r="C709" t="s">
        <v>87</v>
      </c>
    </row>
    <row r="710" spans="1:3" x14ac:dyDescent="0.25">
      <c r="A710">
        <v>736</v>
      </c>
      <c r="B710" t="s">
        <v>804</v>
      </c>
      <c r="C710" t="s">
        <v>192</v>
      </c>
    </row>
    <row r="711" spans="1:3" x14ac:dyDescent="0.25">
      <c r="A711">
        <v>737</v>
      </c>
      <c r="B711" t="s">
        <v>805</v>
      </c>
      <c r="C711" t="s">
        <v>88</v>
      </c>
    </row>
    <row r="712" spans="1:3" x14ac:dyDescent="0.25">
      <c r="A712">
        <v>738</v>
      </c>
      <c r="B712" t="s">
        <v>806</v>
      </c>
      <c r="C712" t="s">
        <v>1119</v>
      </c>
    </row>
    <row r="713" spans="1:3" x14ac:dyDescent="0.25">
      <c r="A713">
        <v>739</v>
      </c>
      <c r="B713" t="s">
        <v>807</v>
      </c>
      <c r="C713" t="s">
        <v>89</v>
      </c>
    </row>
    <row r="714" spans="1:3" x14ac:dyDescent="0.25">
      <c r="A714">
        <v>740</v>
      </c>
      <c r="B714" t="s">
        <v>808</v>
      </c>
      <c r="C714" t="s">
        <v>1120</v>
      </c>
    </row>
    <row r="715" spans="1:3" x14ac:dyDescent="0.25">
      <c r="A715">
        <v>741</v>
      </c>
      <c r="B715" t="s">
        <v>809</v>
      </c>
      <c r="C715" t="s">
        <v>90</v>
      </c>
    </row>
    <row r="716" spans="1:3" x14ac:dyDescent="0.25">
      <c r="A716">
        <v>742</v>
      </c>
      <c r="B716" t="s">
        <v>810</v>
      </c>
      <c r="C716" t="s">
        <v>1121</v>
      </c>
    </row>
    <row r="717" spans="1:3" x14ac:dyDescent="0.25">
      <c r="A717">
        <v>743</v>
      </c>
      <c r="B717" t="s">
        <v>811</v>
      </c>
      <c r="C717" t="s">
        <v>91</v>
      </c>
    </row>
    <row r="718" spans="1:3" x14ac:dyDescent="0.25">
      <c r="A718">
        <v>744</v>
      </c>
      <c r="B718" t="s">
        <v>812</v>
      </c>
      <c r="C718" t="s">
        <v>1122</v>
      </c>
    </row>
    <row r="719" spans="1:3" x14ac:dyDescent="0.25">
      <c r="A719">
        <v>745</v>
      </c>
      <c r="B719" t="s">
        <v>813</v>
      </c>
      <c r="C719" t="s">
        <v>92</v>
      </c>
    </row>
    <row r="720" spans="1:3" x14ac:dyDescent="0.25">
      <c r="A720">
        <v>746</v>
      </c>
      <c r="B720" t="s">
        <v>814</v>
      </c>
      <c r="C720" t="s">
        <v>1590</v>
      </c>
    </row>
    <row r="721" spans="1:3" x14ac:dyDescent="0.25">
      <c r="A721">
        <v>747</v>
      </c>
      <c r="B721" t="s">
        <v>815</v>
      </c>
      <c r="C721" t="s">
        <v>185</v>
      </c>
    </row>
    <row r="722" spans="1:3" x14ac:dyDescent="0.25">
      <c r="A722">
        <v>748</v>
      </c>
      <c r="B722" t="s">
        <v>816</v>
      </c>
      <c r="C722" t="s">
        <v>83</v>
      </c>
    </row>
    <row r="723" spans="1:3" x14ac:dyDescent="0.25">
      <c r="A723">
        <v>749</v>
      </c>
      <c r="B723" t="s">
        <v>817</v>
      </c>
      <c r="C723" t="s">
        <v>187</v>
      </c>
    </row>
    <row r="724" spans="1:3" x14ac:dyDescent="0.25">
      <c r="A724">
        <v>750</v>
      </c>
      <c r="B724" t="s">
        <v>818</v>
      </c>
      <c r="C724" t="s">
        <v>84</v>
      </c>
    </row>
    <row r="725" spans="1:3" x14ac:dyDescent="0.25">
      <c r="A725">
        <v>751</v>
      </c>
      <c r="B725" t="s">
        <v>819</v>
      </c>
      <c r="C725" t="s">
        <v>189</v>
      </c>
    </row>
    <row r="726" spans="1:3" x14ac:dyDescent="0.25">
      <c r="A726">
        <v>752</v>
      </c>
      <c r="B726" t="s">
        <v>820</v>
      </c>
      <c r="C726" t="s">
        <v>116</v>
      </c>
    </row>
    <row r="727" spans="1:3" x14ac:dyDescent="0.25">
      <c r="A727">
        <v>766</v>
      </c>
      <c r="B727" t="s">
        <v>821</v>
      </c>
      <c r="C727" t="s">
        <v>92</v>
      </c>
    </row>
    <row r="728" spans="1:3" x14ac:dyDescent="0.25">
      <c r="A728">
        <v>229</v>
      </c>
      <c r="B728" t="s">
        <v>824</v>
      </c>
      <c r="C728" t="s">
        <v>1591</v>
      </c>
    </row>
    <row r="729" spans="1:3" x14ac:dyDescent="0.25">
      <c r="A729">
        <v>231</v>
      </c>
      <c r="B729" t="s">
        <v>825</v>
      </c>
      <c r="C729" t="s">
        <v>1508</v>
      </c>
    </row>
    <row r="730" spans="1:3" x14ac:dyDescent="0.25">
      <c r="A730">
        <v>232</v>
      </c>
      <c r="B730" t="s">
        <v>826</v>
      </c>
      <c r="C730" t="s">
        <v>93</v>
      </c>
    </row>
    <row r="731" spans="1:3" x14ac:dyDescent="0.25">
      <c r="A731">
        <v>233</v>
      </c>
      <c r="B731" t="s">
        <v>827</v>
      </c>
      <c r="C731" t="s">
        <v>94</v>
      </c>
    </row>
    <row r="732" spans="1:3" x14ac:dyDescent="0.25">
      <c r="A732">
        <v>234</v>
      </c>
      <c r="B732" t="s">
        <v>828</v>
      </c>
      <c r="C732" t="s">
        <v>1593</v>
      </c>
    </row>
    <row r="733" spans="1:3" x14ac:dyDescent="0.25">
      <c r="A733">
        <v>235</v>
      </c>
      <c r="B733" t="s">
        <v>829</v>
      </c>
      <c r="C733" t="s">
        <v>1594</v>
      </c>
    </row>
    <row r="734" spans="1:3" x14ac:dyDescent="0.25">
      <c r="A734">
        <v>753</v>
      </c>
      <c r="B734" t="s">
        <v>830</v>
      </c>
      <c r="C734" t="s">
        <v>1571</v>
      </c>
    </row>
    <row r="735" spans="1:3" x14ac:dyDescent="0.25">
      <c r="A735">
        <v>755</v>
      </c>
      <c r="B735" t="s">
        <v>831</v>
      </c>
      <c r="C735" t="s">
        <v>117</v>
      </c>
    </row>
    <row r="736" spans="1:3" x14ac:dyDescent="0.25">
      <c r="A736">
        <v>757</v>
      </c>
      <c r="B736" t="s">
        <v>832</v>
      </c>
      <c r="C736" t="s">
        <v>118</v>
      </c>
    </row>
    <row r="737" spans="1:3" x14ac:dyDescent="0.25">
      <c r="A737">
        <v>759</v>
      </c>
      <c r="B737" t="s">
        <v>833</v>
      </c>
      <c r="C737" t="s">
        <v>119</v>
      </c>
    </row>
    <row r="738" spans="1:3" x14ac:dyDescent="0.25">
      <c r="A738">
        <v>761</v>
      </c>
      <c r="B738" t="s">
        <v>834</v>
      </c>
      <c r="C738" t="s">
        <v>120</v>
      </c>
    </row>
    <row r="739" spans="1:3" x14ac:dyDescent="0.25">
      <c r="A739">
        <v>763</v>
      </c>
      <c r="B739" t="s">
        <v>835</v>
      </c>
      <c r="C739" t="s">
        <v>121</v>
      </c>
    </row>
    <row r="740" spans="1:3" x14ac:dyDescent="0.25">
      <c r="A740">
        <v>764</v>
      </c>
      <c r="B740" t="s">
        <v>836</v>
      </c>
      <c r="C740" t="s">
        <v>27</v>
      </c>
    </row>
    <row r="741" spans="1:3" x14ac:dyDescent="0.25">
      <c r="A741">
        <v>765</v>
      </c>
      <c r="B741" t="s">
        <v>837</v>
      </c>
      <c r="C741" t="s">
        <v>122</v>
      </c>
    </row>
    <row r="742" spans="1:3" x14ac:dyDescent="0.25">
      <c r="A742">
        <v>236</v>
      </c>
      <c r="B742" t="s">
        <v>838</v>
      </c>
      <c r="C742" t="s">
        <v>109</v>
      </c>
    </row>
    <row r="743" spans="1:3" x14ac:dyDescent="0.25">
      <c r="A743">
        <v>237</v>
      </c>
      <c r="B743" t="s">
        <v>839</v>
      </c>
      <c r="C743" t="s">
        <v>110</v>
      </c>
    </row>
    <row r="744" spans="1:3" x14ac:dyDescent="0.25">
      <c r="A744">
        <v>242</v>
      </c>
      <c r="B744">
        <v>2.2999999999999998</v>
      </c>
      <c r="C744" t="s">
        <v>123</v>
      </c>
    </row>
    <row r="745" spans="1:3" x14ac:dyDescent="0.25">
      <c r="A745">
        <v>243</v>
      </c>
      <c r="B745" t="s">
        <v>343</v>
      </c>
      <c r="C745" t="s">
        <v>124</v>
      </c>
    </row>
    <row r="746" spans="1:3" x14ac:dyDescent="0.25">
      <c r="A746">
        <v>244</v>
      </c>
      <c r="B746" t="s">
        <v>840</v>
      </c>
      <c r="C746" t="s">
        <v>125</v>
      </c>
    </row>
    <row r="747" spans="1:3" x14ac:dyDescent="0.25">
      <c r="A747">
        <v>245</v>
      </c>
      <c r="B747" t="s">
        <v>841</v>
      </c>
      <c r="C747" t="s">
        <v>124</v>
      </c>
    </row>
    <row r="748" spans="1:3" x14ac:dyDescent="0.25">
      <c r="A748">
        <v>246</v>
      </c>
      <c r="B748" t="s">
        <v>344</v>
      </c>
      <c r="C748" t="s">
        <v>345</v>
      </c>
    </row>
    <row r="749" spans="1:3" x14ac:dyDescent="0.25">
      <c r="A749">
        <v>247</v>
      </c>
      <c r="B749" t="s">
        <v>346</v>
      </c>
      <c r="C749" t="s">
        <v>347</v>
      </c>
    </row>
    <row r="750" spans="1:3" x14ac:dyDescent="0.25">
      <c r="A750">
        <v>249</v>
      </c>
      <c r="B750" t="s">
        <v>842</v>
      </c>
      <c r="C750" t="s">
        <v>1600</v>
      </c>
    </row>
    <row r="751" spans="1:3" x14ac:dyDescent="0.25">
      <c r="A751">
        <v>251</v>
      </c>
      <c r="B751" t="s">
        <v>843</v>
      </c>
      <c r="C751" t="s">
        <v>1601</v>
      </c>
    </row>
    <row r="752" spans="1:3" x14ac:dyDescent="0.25">
      <c r="A752">
        <v>252</v>
      </c>
      <c r="B752" t="s">
        <v>844</v>
      </c>
      <c r="C752" t="s">
        <v>1602</v>
      </c>
    </row>
    <row r="753" spans="1:3" x14ac:dyDescent="0.25">
      <c r="A753">
        <v>253</v>
      </c>
      <c r="B753" t="s">
        <v>845</v>
      </c>
      <c r="C753" t="s">
        <v>1603</v>
      </c>
    </row>
    <row r="754" spans="1:3" x14ac:dyDescent="0.25">
      <c r="A754">
        <v>250</v>
      </c>
      <c r="B754" t="s">
        <v>846</v>
      </c>
      <c r="C754" t="s">
        <v>1604</v>
      </c>
    </row>
    <row r="755" spans="1:3" x14ac:dyDescent="0.25">
      <c r="A755">
        <v>254</v>
      </c>
      <c r="B755" t="s">
        <v>847</v>
      </c>
      <c r="C755" t="s">
        <v>1605</v>
      </c>
    </row>
    <row r="756" spans="1:3" x14ac:dyDescent="0.25">
      <c r="A756">
        <v>256</v>
      </c>
      <c r="B756" t="s">
        <v>848</v>
      </c>
      <c r="C756" t="s">
        <v>1606</v>
      </c>
    </row>
    <row r="757" spans="1:3" x14ac:dyDescent="0.25">
      <c r="A757">
        <v>255</v>
      </c>
      <c r="B757" t="s">
        <v>849</v>
      </c>
      <c r="C757" t="s">
        <v>1607</v>
      </c>
    </row>
    <row r="758" spans="1:3" x14ac:dyDescent="0.25">
      <c r="A758">
        <v>257</v>
      </c>
      <c r="B758" t="s">
        <v>348</v>
      </c>
      <c r="C758" t="s">
        <v>126</v>
      </c>
    </row>
    <row r="759" spans="1:3" x14ac:dyDescent="0.25">
      <c r="A759">
        <v>259</v>
      </c>
      <c r="B759" t="s">
        <v>850</v>
      </c>
      <c r="C759" t="s">
        <v>1608</v>
      </c>
    </row>
    <row r="760" spans="1:3" x14ac:dyDescent="0.25">
      <c r="A760">
        <v>260</v>
      </c>
      <c r="B760" t="s">
        <v>851</v>
      </c>
      <c r="C760" t="s">
        <v>1609</v>
      </c>
    </row>
    <row r="761" spans="1:3" x14ac:dyDescent="0.25">
      <c r="A761">
        <v>261</v>
      </c>
      <c r="B761" t="s">
        <v>349</v>
      </c>
      <c r="C761" t="s">
        <v>127</v>
      </c>
    </row>
    <row r="762" spans="1:3" x14ac:dyDescent="0.25">
      <c r="A762">
        <v>262</v>
      </c>
      <c r="B762" t="s">
        <v>350</v>
      </c>
      <c r="C762" t="s">
        <v>1610</v>
      </c>
    </row>
    <row r="763" spans="1:3" x14ac:dyDescent="0.25">
      <c r="A763">
        <v>263</v>
      </c>
      <c r="B763" t="s">
        <v>852</v>
      </c>
      <c r="C763" t="s">
        <v>1603</v>
      </c>
    </row>
    <row r="764" spans="1:3" x14ac:dyDescent="0.25">
      <c r="A764">
        <v>258</v>
      </c>
      <c r="B764" t="s">
        <v>351</v>
      </c>
      <c r="C764" t="s">
        <v>352</v>
      </c>
    </row>
    <row r="765" spans="1:3" x14ac:dyDescent="0.25">
      <c r="A765">
        <v>264</v>
      </c>
      <c r="B765" t="s">
        <v>353</v>
      </c>
      <c r="C765" t="s">
        <v>128</v>
      </c>
    </row>
    <row r="766" spans="1:3" x14ac:dyDescent="0.25">
      <c r="A766">
        <v>265</v>
      </c>
      <c r="B766" t="s">
        <v>354</v>
      </c>
      <c r="C766" t="s">
        <v>128</v>
      </c>
    </row>
    <row r="767" spans="1:3" x14ac:dyDescent="0.25">
      <c r="A767">
        <v>266</v>
      </c>
      <c r="B767" t="s">
        <v>853</v>
      </c>
      <c r="C767" t="s">
        <v>1611</v>
      </c>
    </row>
    <row r="768" spans="1:3" x14ac:dyDescent="0.25">
      <c r="A768">
        <v>267</v>
      </c>
      <c r="B768" t="s">
        <v>854</v>
      </c>
      <c r="C768" t="s">
        <v>1612</v>
      </c>
    </row>
    <row r="769" spans="1:3" x14ac:dyDescent="0.25">
      <c r="A769">
        <v>268</v>
      </c>
      <c r="B769" t="s">
        <v>355</v>
      </c>
      <c r="C769" t="s">
        <v>129</v>
      </c>
    </row>
    <row r="770" spans="1:3" x14ac:dyDescent="0.25">
      <c r="A770">
        <v>767</v>
      </c>
      <c r="B770" t="s">
        <v>855</v>
      </c>
      <c r="C770" t="s">
        <v>1613</v>
      </c>
    </row>
    <row r="771" spans="1:3" x14ac:dyDescent="0.25">
      <c r="A771">
        <v>768</v>
      </c>
      <c r="B771" t="s">
        <v>856</v>
      </c>
      <c r="C771" t="s">
        <v>1614</v>
      </c>
    </row>
    <row r="772" spans="1:3" x14ac:dyDescent="0.25">
      <c r="A772">
        <v>769</v>
      </c>
      <c r="B772" t="s">
        <v>857</v>
      </c>
      <c r="C772" t="s">
        <v>1615</v>
      </c>
    </row>
    <row r="773" spans="1:3" x14ac:dyDescent="0.25">
      <c r="A773">
        <v>770</v>
      </c>
      <c r="B773" t="s">
        <v>356</v>
      </c>
      <c r="C773" t="s">
        <v>357</v>
      </c>
    </row>
    <row r="774" spans="1:3" x14ac:dyDescent="0.25">
      <c r="A774">
        <v>771</v>
      </c>
      <c r="B774" t="s">
        <v>358</v>
      </c>
      <c r="C774" t="s">
        <v>357</v>
      </c>
    </row>
    <row r="775" spans="1:3" x14ac:dyDescent="0.25">
      <c r="A775">
        <v>772</v>
      </c>
      <c r="B775" t="s">
        <v>359</v>
      </c>
      <c r="C775" t="s">
        <v>360</v>
      </c>
    </row>
    <row r="776" spans="1:3" x14ac:dyDescent="0.25">
      <c r="A776">
        <v>402</v>
      </c>
      <c r="B776">
        <v>3</v>
      </c>
      <c r="C776" t="s">
        <v>130</v>
      </c>
    </row>
    <row r="777" spans="1:3" x14ac:dyDescent="0.25">
      <c r="A777">
        <v>403</v>
      </c>
      <c r="B777">
        <v>3.1</v>
      </c>
      <c r="C777" t="s">
        <v>131</v>
      </c>
    </row>
    <row r="778" spans="1:3" x14ac:dyDescent="0.25">
      <c r="A778">
        <v>404</v>
      </c>
      <c r="B778" t="s">
        <v>858</v>
      </c>
      <c r="C778" t="s">
        <v>132</v>
      </c>
    </row>
    <row r="779" spans="1:3" x14ac:dyDescent="0.25">
      <c r="A779">
        <v>405</v>
      </c>
      <c r="B779" t="s">
        <v>859</v>
      </c>
      <c r="C779" t="s">
        <v>133</v>
      </c>
    </row>
    <row r="780" spans="1:3" x14ac:dyDescent="0.25">
      <c r="A780">
        <v>406</v>
      </c>
      <c r="B780" t="s">
        <v>860</v>
      </c>
      <c r="C780" t="s">
        <v>1616</v>
      </c>
    </row>
    <row r="781" spans="1:3" x14ac:dyDescent="0.25">
      <c r="A781">
        <v>407</v>
      </c>
      <c r="B781" t="s">
        <v>861</v>
      </c>
      <c r="C781" t="s">
        <v>1617</v>
      </c>
    </row>
    <row r="782" spans="1:3" x14ac:dyDescent="0.25">
      <c r="A782">
        <v>408</v>
      </c>
      <c r="B782" t="s">
        <v>862</v>
      </c>
      <c r="C782" t="s">
        <v>134</v>
      </c>
    </row>
    <row r="783" spans="1:3" x14ac:dyDescent="0.25">
      <c r="A783">
        <v>409</v>
      </c>
      <c r="B783" t="s">
        <v>863</v>
      </c>
      <c r="C783" t="s">
        <v>1618</v>
      </c>
    </row>
    <row r="784" spans="1:3" x14ac:dyDescent="0.25">
      <c r="A784">
        <v>1638</v>
      </c>
      <c r="B784" t="s">
        <v>864</v>
      </c>
      <c r="C784" t="s">
        <v>1619</v>
      </c>
    </row>
    <row r="785" spans="1:3" x14ac:dyDescent="0.25">
      <c r="A785">
        <v>410</v>
      </c>
      <c r="B785" t="s">
        <v>865</v>
      </c>
      <c r="C785" t="s">
        <v>1620</v>
      </c>
    </row>
    <row r="786" spans="1:3" x14ac:dyDescent="0.25">
      <c r="A786">
        <v>411</v>
      </c>
      <c r="B786" t="s">
        <v>866</v>
      </c>
      <c r="C786" t="s">
        <v>1621</v>
      </c>
    </row>
    <row r="787" spans="1:3" x14ac:dyDescent="0.25">
      <c r="A787">
        <v>1000</v>
      </c>
      <c r="B787" t="s">
        <v>867</v>
      </c>
      <c r="C787" t="s">
        <v>1622</v>
      </c>
    </row>
    <row r="788" spans="1:3" x14ac:dyDescent="0.25">
      <c r="A788">
        <v>412</v>
      </c>
      <c r="B788" t="s">
        <v>867</v>
      </c>
      <c r="C788" t="s">
        <v>1623</v>
      </c>
    </row>
    <row r="789" spans="1:3" x14ac:dyDescent="0.25">
      <c r="A789">
        <v>773</v>
      </c>
      <c r="B789" t="s">
        <v>868</v>
      </c>
      <c r="C789" t="s">
        <v>1624</v>
      </c>
    </row>
    <row r="790" spans="1:3" x14ac:dyDescent="0.25">
      <c r="A790">
        <v>774</v>
      </c>
      <c r="B790" t="s">
        <v>869</v>
      </c>
      <c r="C790" t="s">
        <v>1625</v>
      </c>
    </row>
    <row r="791" spans="1:3" x14ac:dyDescent="0.25">
      <c r="A791">
        <v>775</v>
      </c>
      <c r="B791" t="s">
        <v>870</v>
      </c>
      <c r="C791" t="s">
        <v>1626</v>
      </c>
    </row>
    <row r="792" spans="1:3" x14ac:dyDescent="0.25">
      <c r="A792">
        <v>413</v>
      </c>
      <c r="B792" t="s">
        <v>363</v>
      </c>
      <c r="C792" t="s">
        <v>135</v>
      </c>
    </row>
    <row r="793" spans="1:3" x14ac:dyDescent="0.25">
      <c r="A793">
        <v>414</v>
      </c>
      <c r="B793" t="s">
        <v>364</v>
      </c>
      <c r="C793" t="s">
        <v>136</v>
      </c>
    </row>
    <row r="794" spans="1:3" x14ac:dyDescent="0.25">
      <c r="A794">
        <v>415</v>
      </c>
      <c r="B794" t="s">
        <v>871</v>
      </c>
      <c r="C794" t="s">
        <v>1627</v>
      </c>
    </row>
    <row r="795" spans="1:3" x14ac:dyDescent="0.25">
      <c r="A795">
        <v>416</v>
      </c>
      <c r="B795" t="s">
        <v>872</v>
      </c>
      <c r="C795" t="s">
        <v>1628</v>
      </c>
    </row>
    <row r="796" spans="1:3" x14ac:dyDescent="0.25">
      <c r="A796">
        <v>417</v>
      </c>
      <c r="B796" t="s">
        <v>873</v>
      </c>
      <c r="C796" t="s">
        <v>137</v>
      </c>
    </row>
    <row r="797" spans="1:3" x14ac:dyDescent="0.25">
      <c r="A797">
        <v>418</v>
      </c>
      <c r="B797" t="s">
        <v>874</v>
      </c>
      <c r="C797" t="s">
        <v>1629</v>
      </c>
    </row>
    <row r="798" spans="1:3" x14ac:dyDescent="0.25">
      <c r="A798">
        <v>776</v>
      </c>
      <c r="B798" t="s">
        <v>875</v>
      </c>
      <c r="C798" t="s">
        <v>1630</v>
      </c>
    </row>
    <row r="799" spans="1:3" x14ac:dyDescent="0.25">
      <c r="A799">
        <v>777</v>
      </c>
      <c r="B799" t="s">
        <v>876</v>
      </c>
      <c r="C799" t="s">
        <v>1631</v>
      </c>
    </row>
    <row r="800" spans="1:3" x14ac:dyDescent="0.25">
      <c r="A800">
        <v>778</v>
      </c>
      <c r="B800" t="s">
        <v>877</v>
      </c>
      <c r="C800" t="s">
        <v>1632</v>
      </c>
    </row>
    <row r="801" spans="1:3" x14ac:dyDescent="0.25">
      <c r="A801">
        <v>779</v>
      </c>
      <c r="B801" t="s">
        <v>878</v>
      </c>
      <c r="C801" t="s">
        <v>1633</v>
      </c>
    </row>
    <row r="802" spans="1:3" x14ac:dyDescent="0.25">
      <c r="A802">
        <v>419</v>
      </c>
      <c r="B802" t="s">
        <v>880</v>
      </c>
      <c r="C802" t="s">
        <v>1635</v>
      </c>
    </row>
    <row r="803" spans="1:3" x14ac:dyDescent="0.25">
      <c r="A803">
        <v>420</v>
      </c>
      <c r="B803" t="s">
        <v>881</v>
      </c>
      <c r="C803" t="s">
        <v>1636</v>
      </c>
    </row>
    <row r="804" spans="1:3" x14ac:dyDescent="0.25">
      <c r="A804">
        <v>421</v>
      </c>
      <c r="B804" t="s">
        <v>882</v>
      </c>
      <c r="C804" t="s">
        <v>1637</v>
      </c>
    </row>
    <row r="805" spans="1:3" x14ac:dyDescent="0.25">
      <c r="A805">
        <v>422</v>
      </c>
      <c r="B805" t="s">
        <v>883</v>
      </c>
      <c r="C805" t="s">
        <v>1638</v>
      </c>
    </row>
    <row r="806" spans="1:3" x14ac:dyDescent="0.25">
      <c r="A806">
        <v>423</v>
      </c>
      <c r="B806" t="s">
        <v>884</v>
      </c>
      <c r="C806" t="s">
        <v>1639</v>
      </c>
    </row>
    <row r="807" spans="1:3" x14ac:dyDescent="0.25">
      <c r="A807">
        <v>424</v>
      </c>
      <c r="B807" t="s">
        <v>367</v>
      </c>
      <c r="C807" t="s">
        <v>138</v>
      </c>
    </row>
    <row r="808" spans="1:3" x14ac:dyDescent="0.25">
      <c r="A808">
        <v>477</v>
      </c>
      <c r="B808" t="s">
        <v>889</v>
      </c>
      <c r="C808" t="s">
        <v>1643</v>
      </c>
    </row>
    <row r="809" spans="1:3" x14ac:dyDescent="0.25">
      <c r="A809">
        <v>478</v>
      </c>
      <c r="B809" t="s">
        <v>890</v>
      </c>
      <c r="C809" t="s">
        <v>1644</v>
      </c>
    </row>
    <row r="810" spans="1:3" x14ac:dyDescent="0.25">
      <c r="A810">
        <v>480</v>
      </c>
      <c r="B810" t="s">
        <v>891</v>
      </c>
      <c r="C810" t="s">
        <v>140</v>
      </c>
    </row>
    <row r="811" spans="1:3" x14ac:dyDescent="0.25">
      <c r="A811">
        <v>482</v>
      </c>
      <c r="B811" t="s">
        <v>892</v>
      </c>
      <c r="C811" t="s">
        <v>1645</v>
      </c>
    </row>
    <row r="812" spans="1:3" x14ac:dyDescent="0.25">
      <c r="A812">
        <v>486</v>
      </c>
      <c r="B812" t="s">
        <v>894</v>
      </c>
      <c r="C812" t="s">
        <v>1647</v>
      </c>
    </row>
    <row r="813" spans="1:3" x14ac:dyDescent="0.25">
      <c r="A813">
        <v>509</v>
      </c>
      <c r="B813" t="s">
        <v>895</v>
      </c>
      <c r="C813" t="s">
        <v>1648</v>
      </c>
    </row>
    <row r="814" spans="1:3" x14ac:dyDescent="0.25">
      <c r="A814">
        <v>782</v>
      </c>
      <c r="B814" t="s">
        <v>896</v>
      </c>
      <c r="C814" t="s">
        <v>1649</v>
      </c>
    </row>
    <row r="815" spans="1:3" x14ac:dyDescent="0.25">
      <c r="A815">
        <v>430</v>
      </c>
      <c r="B815" t="s">
        <v>370</v>
      </c>
      <c r="C815" t="s">
        <v>371</v>
      </c>
    </row>
    <row r="816" spans="1:3" x14ac:dyDescent="0.25">
      <c r="A816">
        <v>432</v>
      </c>
      <c r="B816" t="s">
        <v>897</v>
      </c>
      <c r="C816" t="s">
        <v>1650</v>
      </c>
    </row>
    <row r="817" spans="1:3" x14ac:dyDescent="0.25">
      <c r="A817">
        <v>434</v>
      </c>
      <c r="B817" t="s">
        <v>375</v>
      </c>
      <c r="C817" t="s">
        <v>376</v>
      </c>
    </row>
    <row r="818" spans="1:3" x14ac:dyDescent="0.25">
      <c r="A818">
        <v>435</v>
      </c>
      <c r="B818" t="s">
        <v>899</v>
      </c>
      <c r="C818" t="s">
        <v>1160</v>
      </c>
    </row>
    <row r="819" spans="1:3" x14ac:dyDescent="0.25">
      <c r="A819">
        <v>475</v>
      </c>
      <c r="B819" t="s">
        <v>900</v>
      </c>
      <c r="C819" t="s">
        <v>1652</v>
      </c>
    </row>
    <row r="820" spans="1:3" x14ac:dyDescent="0.25">
      <c r="A820">
        <v>1051</v>
      </c>
      <c r="B820" t="s">
        <v>377</v>
      </c>
      <c r="C820" t="s">
        <v>374</v>
      </c>
    </row>
    <row r="821" spans="1:3" x14ac:dyDescent="0.25">
      <c r="A821">
        <v>436</v>
      </c>
      <c r="B821" t="s">
        <v>901</v>
      </c>
      <c r="C821" t="s">
        <v>1653</v>
      </c>
    </row>
    <row r="822" spans="1:3" x14ac:dyDescent="0.25">
      <c r="A822">
        <v>437</v>
      </c>
      <c r="B822" t="s">
        <v>902</v>
      </c>
      <c r="C822" t="s">
        <v>1654</v>
      </c>
    </row>
    <row r="823" spans="1:3" x14ac:dyDescent="0.25">
      <c r="A823">
        <v>438</v>
      </c>
      <c r="B823" t="s">
        <v>903</v>
      </c>
      <c r="C823" t="s">
        <v>1655</v>
      </c>
    </row>
    <row r="824" spans="1:3" x14ac:dyDescent="0.25">
      <c r="A824">
        <v>439</v>
      </c>
      <c r="B824" t="s">
        <v>904</v>
      </c>
      <c r="C824" t="s">
        <v>1656</v>
      </c>
    </row>
    <row r="825" spans="1:3" x14ac:dyDescent="0.25">
      <c r="A825">
        <v>440</v>
      </c>
      <c r="B825" t="s">
        <v>905</v>
      </c>
      <c r="C825" t="s">
        <v>1657</v>
      </c>
    </row>
    <row r="826" spans="1:3" x14ac:dyDescent="0.25">
      <c r="A826">
        <v>442</v>
      </c>
      <c r="B826" t="s">
        <v>378</v>
      </c>
      <c r="C826" t="s">
        <v>141</v>
      </c>
    </row>
    <row r="827" spans="1:3" x14ac:dyDescent="0.25">
      <c r="A827">
        <v>443</v>
      </c>
      <c r="B827" t="s">
        <v>379</v>
      </c>
      <c r="C827" t="s">
        <v>142</v>
      </c>
    </row>
    <row r="828" spans="1:3" x14ac:dyDescent="0.25">
      <c r="A828">
        <v>444</v>
      </c>
      <c r="B828" t="s">
        <v>907</v>
      </c>
      <c r="C828" t="s">
        <v>1659</v>
      </c>
    </row>
    <row r="829" spans="1:3" x14ac:dyDescent="0.25">
      <c r="A829">
        <v>445</v>
      </c>
      <c r="B829" t="s">
        <v>908</v>
      </c>
      <c r="C829" t="s">
        <v>1660</v>
      </c>
    </row>
    <row r="830" spans="1:3" x14ac:dyDescent="0.25">
      <c r="A830">
        <v>446</v>
      </c>
      <c r="B830" t="s">
        <v>909</v>
      </c>
      <c r="C830" t="s">
        <v>1661</v>
      </c>
    </row>
    <row r="831" spans="1:3" x14ac:dyDescent="0.25">
      <c r="A831">
        <v>448</v>
      </c>
      <c r="B831" t="s">
        <v>911</v>
      </c>
      <c r="C831" t="s">
        <v>1663</v>
      </c>
    </row>
    <row r="832" spans="1:3" x14ac:dyDescent="0.25">
      <c r="A832">
        <v>999</v>
      </c>
      <c r="B832" t="s">
        <v>380</v>
      </c>
      <c r="C832" t="s">
        <v>143</v>
      </c>
    </row>
    <row r="833" spans="1:3" x14ac:dyDescent="0.25">
      <c r="A833">
        <v>1068</v>
      </c>
      <c r="B833" t="s">
        <v>382</v>
      </c>
      <c r="C833" t="s">
        <v>383</v>
      </c>
    </row>
    <row r="834" spans="1:3" x14ac:dyDescent="0.25">
      <c r="A834">
        <v>449</v>
      </c>
      <c r="B834">
        <v>3.2</v>
      </c>
      <c r="C834" t="s">
        <v>1664</v>
      </c>
    </row>
    <row r="835" spans="1:3" x14ac:dyDescent="0.25">
      <c r="A835">
        <v>450</v>
      </c>
      <c r="B835" t="s">
        <v>913</v>
      </c>
      <c r="C835" t="s">
        <v>1665</v>
      </c>
    </row>
    <row r="836" spans="1:3" x14ac:dyDescent="0.25">
      <c r="A836">
        <v>451</v>
      </c>
      <c r="B836" t="s">
        <v>914</v>
      </c>
      <c r="C836" t="s">
        <v>1666</v>
      </c>
    </row>
    <row r="837" spans="1:3" x14ac:dyDescent="0.25">
      <c r="A837">
        <v>452</v>
      </c>
      <c r="B837" t="s">
        <v>915</v>
      </c>
      <c r="C837" t="s">
        <v>1667</v>
      </c>
    </row>
    <row r="838" spans="1:3" x14ac:dyDescent="0.25">
      <c r="A838">
        <v>453</v>
      </c>
      <c r="B838" t="s">
        <v>916</v>
      </c>
      <c r="C838" t="s">
        <v>1668</v>
      </c>
    </row>
    <row r="839" spans="1:3" x14ac:dyDescent="0.25">
      <c r="A839">
        <v>454</v>
      </c>
      <c r="B839" t="s">
        <v>917</v>
      </c>
      <c r="C839" t="s">
        <v>1669</v>
      </c>
    </row>
    <row r="840" spans="1:3" x14ac:dyDescent="0.25">
      <c r="A840">
        <v>458</v>
      </c>
      <c r="B840" t="s">
        <v>918</v>
      </c>
      <c r="C840" t="s">
        <v>1670</v>
      </c>
    </row>
    <row r="841" spans="1:3" x14ac:dyDescent="0.25">
      <c r="A841">
        <v>459</v>
      </c>
      <c r="B841" t="s">
        <v>919</v>
      </c>
      <c r="C841" t="s">
        <v>1671</v>
      </c>
    </row>
    <row r="842" spans="1:3" x14ac:dyDescent="0.25">
      <c r="A842">
        <v>269</v>
      </c>
      <c r="B842">
        <v>4</v>
      </c>
      <c r="C842" t="s">
        <v>144</v>
      </c>
    </row>
    <row r="843" spans="1:3" x14ac:dyDescent="0.25">
      <c r="A843">
        <v>271</v>
      </c>
      <c r="B843" t="s">
        <v>920</v>
      </c>
      <c r="C843" t="s">
        <v>1672</v>
      </c>
    </row>
    <row r="844" spans="1:3" x14ac:dyDescent="0.25">
      <c r="A844">
        <v>272</v>
      </c>
      <c r="B844" t="s">
        <v>921</v>
      </c>
      <c r="C844" t="s">
        <v>1673</v>
      </c>
    </row>
    <row r="845" spans="1:3" x14ac:dyDescent="0.25">
      <c r="A845">
        <v>1636</v>
      </c>
      <c r="B845" t="s">
        <v>922</v>
      </c>
      <c r="C845" t="s">
        <v>1674</v>
      </c>
    </row>
    <row r="846" spans="1:3" x14ac:dyDescent="0.25">
      <c r="A846">
        <v>273</v>
      </c>
      <c r="B846" t="s">
        <v>923</v>
      </c>
      <c r="C846" t="s">
        <v>1675</v>
      </c>
    </row>
    <row r="847" spans="1:3" x14ac:dyDescent="0.25">
      <c r="A847">
        <v>274</v>
      </c>
      <c r="B847" t="s">
        <v>924</v>
      </c>
      <c r="C847" t="s">
        <v>392</v>
      </c>
    </row>
    <row r="848" spans="1:3" x14ac:dyDescent="0.25">
      <c r="A848">
        <v>275</v>
      </c>
      <c r="B848" t="s">
        <v>925</v>
      </c>
      <c r="C848" t="s">
        <v>104</v>
      </c>
    </row>
    <row r="849" spans="1:3" x14ac:dyDescent="0.25">
      <c r="A849">
        <v>276</v>
      </c>
      <c r="B849" t="s">
        <v>926</v>
      </c>
      <c r="C849" t="s">
        <v>1676</v>
      </c>
    </row>
    <row r="850" spans="1:3" x14ac:dyDescent="0.25">
      <c r="A850">
        <v>277</v>
      </c>
      <c r="B850" t="s">
        <v>927</v>
      </c>
      <c r="C850" t="s">
        <v>1677</v>
      </c>
    </row>
    <row r="851" spans="1:3" x14ac:dyDescent="0.25">
      <c r="A851">
        <v>278</v>
      </c>
      <c r="B851" t="s">
        <v>928</v>
      </c>
      <c r="C851" t="s">
        <v>404</v>
      </c>
    </row>
    <row r="852" spans="1:3" x14ac:dyDescent="0.25">
      <c r="A852">
        <v>281</v>
      </c>
      <c r="B852" t="s">
        <v>929</v>
      </c>
      <c r="C852" t="s">
        <v>1678</v>
      </c>
    </row>
    <row r="853" spans="1:3" x14ac:dyDescent="0.25">
      <c r="A853">
        <v>282</v>
      </c>
      <c r="B853" t="s">
        <v>930</v>
      </c>
      <c r="C853" t="s">
        <v>1679</v>
      </c>
    </row>
    <row r="854" spans="1:3" x14ac:dyDescent="0.25">
      <c r="A854">
        <v>497</v>
      </c>
      <c r="B854" t="s">
        <v>931</v>
      </c>
      <c r="C854" t="s">
        <v>1680</v>
      </c>
    </row>
    <row r="855" spans="1:3" x14ac:dyDescent="0.25">
      <c r="A855">
        <v>785</v>
      </c>
      <c r="B855" t="s">
        <v>932</v>
      </c>
      <c r="C855" t="s">
        <v>1681</v>
      </c>
    </row>
    <row r="856" spans="1:3" x14ac:dyDescent="0.25">
      <c r="A856">
        <v>786</v>
      </c>
      <c r="B856" t="s">
        <v>933</v>
      </c>
      <c r="C856" t="s">
        <v>1682</v>
      </c>
    </row>
    <row r="857" spans="1:3" x14ac:dyDescent="0.25">
      <c r="A857">
        <v>787</v>
      </c>
      <c r="B857" t="s">
        <v>934</v>
      </c>
      <c r="C857" t="s">
        <v>402</v>
      </c>
    </row>
    <row r="858" spans="1:3" x14ac:dyDescent="0.25">
      <c r="A858">
        <v>788</v>
      </c>
      <c r="B858" t="s">
        <v>935</v>
      </c>
      <c r="C858" t="s">
        <v>1683</v>
      </c>
    </row>
    <row r="859" spans="1:3" x14ac:dyDescent="0.25">
      <c r="A859">
        <v>789</v>
      </c>
      <c r="B859" t="s">
        <v>936</v>
      </c>
      <c r="C859" t="s">
        <v>403</v>
      </c>
    </row>
    <row r="860" spans="1:3" x14ac:dyDescent="0.25">
      <c r="A860">
        <v>790</v>
      </c>
      <c r="B860" t="s">
        <v>937</v>
      </c>
      <c r="C860" t="s">
        <v>1684</v>
      </c>
    </row>
    <row r="861" spans="1:3" x14ac:dyDescent="0.25">
      <c r="A861">
        <v>791</v>
      </c>
      <c r="B861" t="s">
        <v>938</v>
      </c>
      <c r="C861" t="s">
        <v>1685</v>
      </c>
    </row>
    <row r="862" spans="1:3" x14ac:dyDescent="0.25">
      <c r="A862">
        <v>792</v>
      </c>
      <c r="B862" t="s">
        <v>939</v>
      </c>
      <c r="C862" t="s">
        <v>1686</v>
      </c>
    </row>
    <row r="863" spans="1:3" x14ac:dyDescent="0.25">
      <c r="A863">
        <v>793</v>
      </c>
      <c r="B863" t="s">
        <v>940</v>
      </c>
      <c r="C863" t="s">
        <v>1687</v>
      </c>
    </row>
    <row r="864" spans="1:3" x14ac:dyDescent="0.25">
      <c r="A864">
        <v>794</v>
      </c>
      <c r="B864" t="s">
        <v>941</v>
      </c>
      <c r="C864" t="s">
        <v>1688</v>
      </c>
    </row>
    <row r="865" spans="1:3" x14ac:dyDescent="0.25">
      <c r="A865">
        <v>795</v>
      </c>
      <c r="B865" t="s">
        <v>942</v>
      </c>
      <c r="C865" t="s">
        <v>1689</v>
      </c>
    </row>
    <row r="866" spans="1:3" x14ac:dyDescent="0.25">
      <c r="A866">
        <v>796</v>
      </c>
      <c r="B866" t="s">
        <v>943</v>
      </c>
      <c r="C866" t="s">
        <v>1690</v>
      </c>
    </row>
    <row r="867" spans="1:3" x14ac:dyDescent="0.25">
      <c r="A867">
        <v>797</v>
      </c>
      <c r="B867" t="s">
        <v>944</v>
      </c>
      <c r="C867" t="s">
        <v>1691</v>
      </c>
    </row>
    <row r="868" spans="1:3" x14ac:dyDescent="0.25">
      <c r="A868">
        <v>798</v>
      </c>
      <c r="B868" t="s">
        <v>945</v>
      </c>
      <c r="C868" t="s">
        <v>1692</v>
      </c>
    </row>
    <row r="869" spans="1:3" x14ac:dyDescent="0.25">
      <c r="A869">
        <v>952</v>
      </c>
      <c r="B869" t="s">
        <v>946</v>
      </c>
      <c r="C869" t="s">
        <v>1693</v>
      </c>
    </row>
    <row r="870" spans="1:3" x14ac:dyDescent="0.25">
      <c r="A870">
        <v>953</v>
      </c>
      <c r="B870" t="s">
        <v>947</v>
      </c>
      <c r="C870" t="s">
        <v>1694</v>
      </c>
    </row>
    <row r="871" spans="1:3" x14ac:dyDescent="0.25">
      <c r="A871">
        <v>799</v>
      </c>
      <c r="B871" t="s">
        <v>948</v>
      </c>
      <c r="C871" t="s">
        <v>1695</v>
      </c>
    </row>
    <row r="872" spans="1:3" x14ac:dyDescent="0.25">
      <c r="A872">
        <v>800</v>
      </c>
      <c r="B872" t="s">
        <v>949</v>
      </c>
      <c r="C872" t="s">
        <v>1696</v>
      </c>
    </row>
    <row r="873" spans="1:3" x14ac:dyDescent="0.25">
      <c r="A873">
        <v>801</v>
      </c>
      <c r="B873" t="s">
        <v>950</v>
      </c>
      <c r="C873" t="s">
        <v>1697</v>
      </c>
    </row>
    <row r="874" spans="1:3" x14ac:dyDescent="0.25">
      <c r="A874">
        <v>802</v>
      </c>
      <c r="B874" t="s">
        <v>951</v>
      </c>
      <c r="C874" t="s">
        <v>1698</v>
      </c>
    </row>
    <row r="875" spans="1:3" x14ac:dyDescent="0.25">
      <c r="A875">
        <v>803</v>
      </c>
      <c r="B875" t="s">
        <v>952</v>
      </c>
      <c r="C875" t="s">
        <v>38</v>
      </c>
    </row>
    <row r="876" spans="1:3" x14ac:dyDescent="0.25">
      <c r="A876">
        <v>804</v>
      </c>
      <c r="B876" t="s">
        <v>953</v>
      </c>
      <c r="C876" t="s">
        <v>1699</v>
      </c>
    </row>
    <row r="877" spans="1:3" x14ac:dyDescent="0.25">
      <c r="A877">
        <v>805</v>
      </c>
      <c r="B877" t="s">
        <v>954</v>
      </c>
      <c r="C877" t="s">
        <v>158</v>
      </c>
    </row>
    <row r="878" spans="1:3" x14ac:dyDescent="0.25">
      <c r="A878">
        <v>806</v>
      </c>
      <c r="B878" t="s">
        <v>955</v>
      </c>
      <c r="C878" t="s">
        <v>1700</v>
      </c>
    </row>
    <row r="879" spans="1:3" x14ac:dyDescent="0.25">
      <c r="A879">
        <v>807</v>
      </c>
      <c r="B879" t="s">
        <v>956</v>
      </c>
      <c r="C879" t="s">
        <v>153</v>
      </c>
    </row>
    <row r="880" spans="1:3" x14ac:dyDescent="0.25">
      <c r="A880">
        <v>808</v>
      </c>
      <c r="B880" t="s">
        <v>957</v>
      </c>
      <c r="C880" t="s">
        <v>1701</v>
      </c>
    </row>
    <row r="881" spans="1:3" x14ac:dyDescent="0.25">
      <c r="A881">
        <v>809</v>
      </c>
      <c r="B881" t="s">
        <v>958</v>
      </c>
      <c r="C881" t="s">
        <v>398</v>
      </c>
    </row>
    <row r="882" spans="1:3" x14ac:dyDescent="0.25">
      <c r="A882">
        <v>810</v>
      </c>
      <c r="B882" t="s">
        <v>959</v>
      </c>
      <c r="C882" t="s">
        <v>400</v>
      </c>
    </row>
    <row r="883" spans="1:3" x14ac:dyDescent="0.25">
      <c r="A883">
        <v>811</v>
      </c>
      <c r="B883" t="s">
        <v>960</v>
      </c>
      <c r="C883" t="s">
        <v>448</v>
      </c>
    </row>
    <row r="884" spans="1:3" x14ac:dyDescent="0.25">
      <c r="A884">
        <v>812</v>
      </c>
      <c r="B884" t="s">
        <v>961</v>
      </c>
      <c r="C884" t="s">
        <v>1702</v>
      </c>
    </row>
    <row r="885" spans="1:3" x14ac:dyDescent="0.25">
      <c r="A885">
        <v>813</v>
      </c>
      <c r="B885" t="s">
        <v>962</v>
      </c>
      <c r="C885" t="s">
        <v>1703</v>
      </c>
    </row>
    <row r="886" spans="1:3" x14ac:dyDescent="0.25">
      <c r="A886">
        <v>814</v>
      </c>
      <c r="B886" t="s">
        <v>963</v>
      </c>
      <c r="C886" t="s">
        <v>454</v>
      </c>
    </row>
    <row r="887" spans="1:3" x14ac:dyDescent="0.25">
      <c r="A887">
        <v>815</v>
      </c>
      <c r="B887" t="s">
        <v>964</v>
      </c>
      <c r="C887" t="s">
        <v>152</v>
      </c>
    </row>
    <row r="888" spans="1:3" x14ac:dyDescent="0.25">
      <c r="A888">
        <v>816</v>
      </c>
      <c r="B888" t="s">
        <v>965</v>
      </c>
      <c r="C888" t="s">
        <v>1704</v>
      </c>
    </row>
    <row r="889" spans="1:3" x14ac:dyDescent="0.25">
      <c r="A889">
        <v>817</v>
      </c>
      <c r="B889" t="s">
        <v>966</v>
      </c>
      <c r="C889" t="s">
        <v>1705</v>
      </c>
    </row>
    <row r="890" spans="1:3" x14ac:dyDescent="0.25">
      <c r="A890">
        <v>818</v>
      </c>
      <c r="B890" t="s">
        <v>967</v>
      </c>
      <c r="C890" t="s">
        <v>254</v>
      </c>
    </row>
    <row r="891" spans="1:3" x14ac:dyDescent="0.25">
      <c r="A891">
        <v>954</v>
      </c>
      <c r="B891" t="s">
        <v>968</v>
      </c>
      <c r="C891" t="s">
        <v>429</v>
      </c>
    </row>
    <row r="892" spans="1:3" x14ac:dyDescent="0.25">
      <c r="A892">
        <v>955</v>
      </c>
      <c r="B892" t="s">
        <v>969</v>
      </c>
      <c r="C892" t="s">
        <v>430</v>
      </c>
    </row>
    <row r="893" spans="1:3" x14ac:dyDescent="0.25">
      <c r="A893">
        <v>956</v>
      </c>
      <c r="B893" t="s">
        <v>970</v>
      </c>
      <c r="C893" t="s">
        <v>442</v>
      </c>
    </row>
    <row r="894" spans="1:3" x14ac:dyDescent="0.25">
      <c r="A894">
        <v>957</v>
      </c>
      <c r="B894" t="s">
        <v>971</v>
      </c>
      <c r="C894" t="s">
        <v>1708</v>
      </c>
    </row>
    <row r="895" spans="1:3" x14ac:dyDescent="0.25">
      <c r="A895">
        <v>958</v>
      </c>
      <c r="B895" t="s">
        <v>972</v>
      </c>
      <c r="C895" t="s">
        <v>434</v>
      </c>
    </row>
    <row r="896" spans="1:3" x14ac:dyDescent="0.25">
      <c r="A896">
        <v>959</v>
      </c>
      <c r="B896" t="s">
        <v>973</v>
      </c>
      <c r="C896" t="s">
        <v>1709</v>
      </c>
    </row>
    <row r="897" spans="1:3" x14ac:dyDescent="0.25">
      <c r="A897">
        <v>960</v>
      </c>
      <c r="B897" t="s">
        <v>974</v>
      </c>
      <c r="C897" t="s">
        <v>1710</v>
      </c>
    </row>
    <row r="898" spans="1:3" x14ac:dyDescent="0.25">
      <c r="A898">
        <v>961</v>
      </c>
      <c r="B898" t="s">
        <v>975</v>
      </c>
      <c r="C898" t="s">
        <v>1711</v>
      </c>
    </row>
    <row r="899" spans="1:3" x14ac:dyDescent="0.25">
      <c r="A899">
        <v>962</v>
      </c>
      <c r="B899" t="s">
        <v>976</v>
      </c>
      <c r="C899" t="s">
        <v>438</v>
      </c>
    </row>
    <row r="900" spans="1:3" x14ac:dyDescent="0.25">
      <c r="A900">
        <v>963</v>
      </c>
      <c r="B900" t="s">
        <v>977</v>
      </c>
      <c r="C900" t="s">
        <v>440</v>
      </c>
    </row>
    <row r="901" spans="1:3" x14ac:dyDescent="0.25">
      <c r="A901">
        <v>283</v>
      </c>
      <c r="B901" t="s">
        <v>387</v>
      </c>
      <c r="C901" t="s">
        <v>1712</v>
      </c>
    </row>
    <row r="902" spans="1:3" x14ac:dyDescent="0.25">
      <c r="A902">
        <v>284</v>
      </c>
      <c r="B902" t="s">
        <v>978</v>
      </c>
      <c r="C902" t="s">
        <v>1713</v>
      </c>
    </row>
    <row r="903" spans="1:3" x14ac:dyDescent="0.25">
      <c r="A903">
        <v>821</v>
      </c>
      <c r="B903" t="s">
        <v>979</v>
      </c>
      <c r="C903" t="s">
        <v>1713</v>
      </c>
    </row>
    <row r="904" spans="1:3" x14ac:dyDescent="0.25">
      <c r="A904">
        <v>293</v>
      </c>
      <c r="B904" t="s">
        <v>388</v>
      </c>
      <c r="C904" t="s">
        <v>389</v>
      </c>
    </row>
    <row r="905" spans="1:3" x14ac:dyDescent="0.25">
      <c r="A905">
        <v>294</v>
      </c>
      <c r="B905" t="s">
        <v>390</v>
      </c>
      <c r="C905" t="s">
        <v>1675</v>
      </c>
    </row>
    <row r="906" spans="1:3" x14ac:dyDescent="0.25">
      <c r="A906">
        <v>822</v>
      </c>
      <c r="B906" t="s">
        <v>391</v>
      </c>
      <c r="C906" t="s">
        <v>392</v>
      </c>
    </row>
    <row r="907" spans="1:3" x14ac:dyDescent="0.25">
      <c r="A907">
        <v>823</v>
      </c>
      <c r="B907" t="s">
        <v>393</v>
      </c>
      <c r="C907" t="s">
        <v>104</v>
      </c>
    </row>
    <row r="908" spans="1:3" x14ac:dyDescent="0.25">
      <c r="A908">
        <v>824</v>
      </c>
      <c r="B908" t="s">
        <v>980</v>
      </c>
      <c r="C908" t="s">
        <v>1714</v>
      </c>
    </row>
    <row r="909" spans="1:3" x14ac:dyDescent="0.25">
      <c r="A909">
        <v>825</v>
      </c>
      <c r="B909" t="s">
        <v>981</v>
      </c>
      <c r="C909" t="s">
        <v>1715</v>
      </c>
    </row>
    <row r="910" spans="1:3" x14ac:dyDescent="0.25">
      <c r="A910">
        <v>826</v>
      </c>
      <c r="B910" t="s">
        <v>982</v>
      </c>
      <c r="C910" t="s">
        <v>404</v>
      </c>
    </row>
    <row r="911" spans="1:3" x14ac:dyDescent="0.25">
      <c r="A911">
        <v>829</v>
      </c>
      <c r="B911" t="s">
        <v>983</v>
      </c>
      <c r="C911" t="s">
        <v>1678</v>
      </c>
    </row>
    <row r="912" spans="1:3" x14ac:dyDescent="0.25">
      <c r="A912">
        <v>830</v>
      </c>
      <c r="B912" t="s">
        <v>984</v>
      </c>
      <c r="C912" t="s">
        <v>1679</v>
      </c>
    </row>
    <row r="913" spans="1:3" x14ac:dyDescent="0.25">
      <c r="A913">
        <v>831</v>
      </c>
      <c r="B913" t="s">
        <v>985</v>
      </c>
      <c r="C913" t="s">
        <v>1716</v>
      </c>
    </row>
    <row r="914" spans="1:3" x14ac:dyDescent="0.25">
      <c r="A914">
        <v>832</v>
      </c>
      <c r="B914" t="s">
        <v>986</v>
      </c>
      <c r="C914" t="s">
        <v>1717</v>
      </c>
    </row>
    <row r="915" spans="1:3" x14ac:dyDescent="0.25">
      <c r="A915">
        <v>833</v>
      </c>
      <c r="B915" t="s">
        <v>987</v>
      </c>
      <c r="C915" t="s">
        <v>1682</v>
      </c>
    </row>
    <row r="916" spans="1:3" x14ac:dyDescent="0.25">
      <c r="A916">
        <v>834</v>
      </c>
      <c r="B916" t="s">
        <v>988</v>
      </c>
      <c r="C916" t="s">
        <v>402</v>
      </c>
    </row>
    <row r="917" spans="1:3" x14ac:dyDescent="0.25">
      <c r="A917">
        <v>835</v>
      </c>
      <c r="B917" t="s">
        <v>989</v>
      </c>
      <c r="C917" t="s">
        <v>1683</v>
      </c>
    </row>
    <row r="918" spans="1:3" x14ac:dyDescent="0.25">
      <c r="A918">
        <v>836</v>
      </c>
      <c r="B918" t="s">
        <v>990</v>
      </c>
      <c r="C918" t="s">
        <v>403</v>
      </c>
    </row>
    <row r="919" spans="1:3" x14ac:dyDescent="0.25">
      <c r="A919">
        <v>837</v>
      </c>
      <c r="B919" t="s">
        <v>991</v>
      </c>
      <c r="C919" t="s">
        <v>1684</v>
      </c>
    </row>
    <row r="920" spans="1:3" x14ac:dyDescent="0.25">
      <c r="A920">
        <v>838</v>
      </c>
      <c r="B920" t="s">
        <v>992</v>
      </c>
      <c r="C920" t="s">
        <v>1685</v>
      </c>
    </row>
    <row r="921" spans="1:3" x14ac:dyDescent="0.25">
      <c r="A921">
        <v>839</v>
      </c>
      <c r="B921" t="s">
        <v>993</v>
      </c>
      <c r="C921" t="s">
        <v>1686</v>
      </c>
    </row>
    <row r="922" spans="1:3" x14ac:dyDescent="0.25">
      <c r="A922">
        <v>840</v>
      </c>
      <c r="B922" t="s">
        <v>994</v>
      </c>
      <c r="C922" t="s">
        <v>1687</v>
      </c>
    </row>
    <row r="923" spans="1:3" x14ac:dyDescent="0.25">
      <c r="A923">
        <v>841</v>
      </c>
      <c r="B923" t="s">
        <v>995</v>
      </c>
      <c r="C923" t="s">
        <v>1688</v>
      </c>
    </row>
    <row r="924" spans="1:3" x14ac:dyDescent="0.25">
      <c r="A924">
        <v>842</v>
      </c>
      <c r="B924" t="s">
        <v>996</v>
      </c>
      <c r="C924" t="s">
        <v>1689</v>
      </c>
    </row>
    <row r="925" spans="1:3" x14ac:dyDescent="0.25">
      <c r="A925">
        <v>843</v>
      </c>
      <c r="B925" t="s">
        <v>997</v>
      </c>
      <c r="C925" t="s">
        <v>1718</v>
      </c>
    </row>
    <row r="926" spans="1:3" x14ac:dyDescent="0.25">
      <c r="A926">
        <v>844</v>
      </c>
      <c r="B926" t="s">
        <v>998</v>
      </c>
      <c r="C926" t="s">
        <v>1719</v>
      </c>
    </row>
    <row r="927" spans="1:3" x14ac:dyDescent="0.25">
      <c r="A927">
        <v>845</v>
      </c>
      <c r="B927" t="s">
        <v>999</v>
      </c>
      <c r="C927" t="s">
        <v>1720</v>
      </c>
    </row>
    <row r="928" spans="1:3" x14ac:dyDescent="0.25">
      <c r="A928">
        <v>964</v>
      </c>
      <c r="B928" t="s">
        <v>1000</v>
      </c>
      <c r="C928" t="s">
        <v>1693</v>
      </c>
    </row>
    <row r="929" spans="1:3" x14ac:dyDescent="0.25">
      <c r="A929">
        <v>965</v>
      </c>
      <c r="B929" t="s">
        <v>1001</v>
      </c>
      <c r="C929" t="s">
        <v>1694</v>
      </c>
    </row>
    <row r="930" spans="1:3" x14ac:dyDescent="0.25">
      <c r="A930">
        <v>846</v>
      </c>
      <c r="B930" t="s">
        <v>396</v>
      </c>
      <c r="C930" t="s">
        <v>1695</v>
      </c>
    </row>
    <row r="931" spans="1:3" x14ac:dyDescent="0.25">
      <c r="A931">
        <v>847</v>
      </c>
      <c r="B931" t="s">
        <v>1002</v>
      </c>
      <c r="C931" t="s">
        <v>1696</v>
      </c>
    </row>
    <row r="932" spans="1:3" x14ac:dyDescent="0.25">
      <c r="A932">
        <v>848</v>
      </c>
      <c r="B932" t="s">
        <v>1003</v>
      </c>
      <c r="C932" t="s">
        <v>1697</v>
      </c>
    </row>
    <row r="933" spans="1:3" x14ac:dyDescent="0.25">
      <c r="A933">
        <v>849</v>
      </c>
      <c r="B933" t="s">
        <v>1004</v>
      </c>
      <c r="C933" t="s">
        <v>1698</v>
      </c>
    </row>
    <row r="934" spans="1:3" x14ac:dyDescent="0.25">
      <c r="A934">
        <v>850</v>
      </c>
      <c r="B934" t="s">
        <v>1005</v>
      </c>
      <c r="C934" t="s">
        <v>38</v>
      </c>
    </row>
    <row r="935" spans="1:3" x14ac:dyDescent="0.25">
      <c r="A935">
        <v>851</v>
      </c>
      <c r="B935" t="s">
        <v>1006</v>
      </c>
      <c r="C935" t="s">
        <v>1721</v>
      </c>
    </row>
    <row r="936" spans="1:3" x14ac:dyDescent="0.25">
      <c r="A936">
        <v>852</v>
      </c>
      <c r="B936" t="s">
        <v>1007</v>
      </c>
      <c r="C936" t="s">
        <v>158</v>
      </c>
    </row>
    <row r="937" spans="1:3" x14ac:dyDescent="0.25">
      <c r="A937">
        <v>853</v>
      </c>
      <c r="B937" t="s">
        <v>1008</v>
      </c>
      <c r="C937" t="s">
        <v>1700</v>
      </c>
    </row>
    <row r="938" spans="1:3" x14ac:dyDescent="0.25">
      <c r="A938">
        <v>854</v>
      </c>
      <c r="B938" t="s">
        <v>1009</v>
      </c>
      <c r="C938" t="s">
        <v>153</v>
      </c>
    </row>
    <row r="939" spans="1:3" x14ac:dyDescent="0.25">
      <c r="A939">
        <v>855</v>
      </c>
      <c r="B939" t="s">
        <v>1010</v>
      </c>
      <c r="C939" t="s">
        <v>1701</v>
      </c>
    </row>
    <row r="940" spans="1:3" x14ac:dyDescent="0.25">
      <c r="A940">
        <v>856</v>
      </c>
      <c r="B940" t="s">
        <v>397</v>
      </c>
      <c r="C940" t="s">
        <v>398</v>
      </c>
    </row>
    <row r="941" spans="1:3" x14ac:dyDescent="0.25">
      <c r="A941">
        <v>857</v>
      </c>
      <c r="B941" t="s">
        <v>399</v>
      </c>
      <c r="C941" t="s">
        <v>400</v>
      </c>
    </row>
    <row r="942" spans="1:3" x14ac:dyDescent="0.25">
      <c r="A942">
        <v>858</v>
      </c>
      <c r="B942" t="s">
        <v>1011</v>
      </c>
      <c r="C942" t="s">
        <v>448</v>
      </c>
    </row>
    <row r="943" spans="1:3" x14ac:dyDescent="0.25">
      <c r="A943">
        <v>859</v>
      </c>
      <c r="B943" t="s">
        <v>1012</v>
      </c>
      <c r="C943" t="s">
        <v>1702</v>
      </c>
    </row>
    <row r="944" spans="1:3" x14ac:dyDescent="0.25">
      <c r="A944">
        <v>860</v>
      </c>
      <c r="B944" t="s">
        <v>1013</v>
      </c>
      <c r="C944" t="s">
        <v>1703</v>
      </c>
    </row>
    <row r="945" spans="1:3" x14ac:dyDescent="0.25">
      <c r="A945">
        <v>861</v>
      </c>
      <c r="B945" t="s">
        <v>1014</v>
      </c>
      <c r="C945" t="s">
        <v>454</v>
      </c>
    </row>
    <row r="946" spans="1:3" x14ac:dyDescent="0.25">
      <c r="A946">
        <v>862</v>
      </c>
      <c r="B946" t="s">
        <v>1015</v>
      </c>
      <c r="C946" t="s">
        <v>152</v>
      </c>
    </row>
    <row r="947" spans="1:3" x14ac:dyDescent="0.25">
      <c r="A947">
        <v>863</v>
      </c>
      <c r="B947" t="s">
        <v>1016</v>
      </c>
      <c r="C947" t="s">
        <v>1704</v>
      </c>
    </row>
    <row r="948" spans="1:3" x14ac:dyDescent="0.25">
      <c r="A948">
        <v>864</v>
      </c>
      <c r="B948" t="s">
        <v>1017</v>
      </c>
      <c r="C948" t="s">
        <v>1705</v>
      </c>
    </row>
    <row r="949" spans="1:3" x14ac:dyDescent="0.25">
      <c r="A949">
        <v>865</v>
      </c>
      <c r="B949" t="s">
        <v>1018</v>
      </c>
      <c r="C949" t="s">
        <v>254</v>
      </c>
    </row>
    <row r="950" spans="1:3" x14ac:dyDescent="0.25">
      <c r="A950">
        <v>967</v>
      </c>
      <c r="B950" t="s">
        <v>1021</v>
      </c>
      <c r="C950" t="s">
        <v>430</v>
      </c>
    </row>
    <row r="951" spans="1:3" x14ac:dyDescent="0.25">
      <c r="A951">
        <v>968</v>
      </c>
      <c r="B951" t="s">
        <v>1022</v>
      </c>
      <c r="C951" t="s">
        <v>442</v>
      </c>
    </row>
    <row r="952" spans="1:3" x14ac:dyDescent="0.25">
      <c r="A952">
        <v>969</v>
      </c>
      <c r="B952" t="s">
        <v>1023</v>
      </c>
      <c r="C952" t="s">
        <v>1722</v>
      </c>
    </row>
    <row r="953" spans="1:3" x14ac:dyDescent="0.25">
      <c r="A953">
        <v>970</v>
      </c>
      <c r="B953" t="s">
        <v>1024</v>
      </c>
      <c r="C953" t="s">
        <v>434</v>
      </c>
    </row>
    <row r="954" spans="1:3" x14ac:dyDescent="0.25">
      <c r="A954">
        <v>971</v>
      </c>
      <c r="B954" t="s">
        <v>1025</v>
      </c>
      <c r="C954" t="s">
        <v>1723</v>
      </c>
    </row>
    <row r="955" spans="1:3" x14ac:dyDescent="0.25">
      <c r="A955">
        <v>972</v>
      </c>
      <c r="B955" t="s">
        <v>1026</v>
      </c>
      <c r="C955" t="s">
        <v>443</v>
      </c>
    </row>
    <row r="956" spans="1:3" x14ac:dyDescent="0.25">
      <c r="A956">
        <v>973</v>
      </c>
      <c r="B956" t="s">
        <v>1027</v>
      </c>
      <c r="C956" t="s">
        <v>1711</v>
      </c>
    </row>
    <row r="957" spans="1:3" x14ac:dyDescent="0.25">
      <c r="A957">
        <v>974</v>
      </c>
      <c r="B957" t="s">
        <v>1028</v>
      </c>
      <c r="C957" t="s">
        <v>438</v>
      </c>
    </row>
    <row r="958" spans="1:3" x14ac:dyDescent="0.25">
      <c r="A958">
        <v>975</v>
      </c>
      <c r="B958" t="s">
        <v>1029</v>
      </c>
      <c r="C958" t="s">
        <v>440</v>
      </c>
    </row>
    <row r="959" spans="1:3" x14ac:dyDescent="0.25">
      <c r="A959">
        <v>295</v>
      </c>
      <c r="B959">
        <v>4.2</v>
      </c>
      <c r="C959" t="s">
        <v>145</v>
      </c>
    </row>
    <row r="960" spans="1:3" x14ac:dyDescent="0.25">
      <c r="A960">
        <v>296</v>
      </c>
      <c r="B960" t="s">
        <v>407</v>
      </c>
      <c r="C960" t="s">
        <v>146</v>
      </c>
    </row>
    <row r="961" spans="1:3" x14ac:dyDescent="0.25">
      <c r="A961">
        <v>297</v>
      </c>
      <c r="B961" t="s">
        <v>1030</v>
      </c>
      <c r="C961" t="s">
        <v>147</v>
      </c>
    </row>
    <row r="962" spans="1:3" x14ac:dyDescent="0.25">
      <c r="A962">
        <v>298</v>
      </c>
      <c r="B962" t="s">
        <v>1031</v>
      </c>
      <c r="C962" t="s">
        <v>392</v>
      </c>
    </row>
    <row r="963" spans="1:3" x14ac:dyDescent="0.25">
      <c r="A963">
        <v>299</v>
      </c>
      <c r="B963" t="s">
        <v>1032</v>
      </c>
      <c r="C963" t="s">
        <v>104</v>
      </c>
    </row>
    <row r="964" spans="1:3" x14ac:dyDescent="0.25">
      <c r="A964">
        <v>300</v>
      </c>
      <c r="B964" t="s">
        <v>1033</v>
      </c>
      <c r="C964" t="s">
        <v>1676</v>
      </c>
    </row>
    <row r="965" spans="1:3" x14ac:dyDescent="0.25">
      <c r="A965">
        <v>301</v>
      </c>
      <c r="B965" t="s">
        <v>1034</v>
      </c>
      <c r="C965" t="s">
        <v>1677</v>
      </c>
    </row>
    <row r="966" spans="1:3" x14ac:dyDescent="0.25">
      <c r="A966">
        <v>302</v>
      </c>
      <c r="B966" t="s">
        <v>1035</v>
      </c>
      <c r="C966" t="s">
        <v>404</v>
      </c>
    </row>
    <row r="967" spans="1:3" x14ac:dyDescent="0.25">
      <c r="A967">
        <v>305</v>
      </c>
      <c r="B967" t="s">
        <v>1038</v>
      </c>
      <c r="C967" t="s">
        <v>1678</v>
      </c>
    </row>
    <row r="968" spans="1:3" x14ac:dyDescent="0.25">
      <c r="A968">
        <v>306</v>
      </c>
      <c r="B968" t="s">
        <v>1039</v>
      </c>
      <c r="C968" t="s">
        <v>1679</v>
      </c>
    </row>
    <row r="969" spans="1:3" x14ac:dyDescent="0.25">
      <c r="A969">
        <v>498</v>
      </c>
      <c r="B969" t="s">
        <v>1040</v>
      </c>
      <c r="C969" t="s">
        <v>1716</v>
      </c>
    </row>
    <row r="970" spans="1:3" x14ac:dyDescent="0.25">
      <c r="A970">
        <v>511</v>
      </c>
      <c r="B970" t="s">
        <v>1041</v>
      </c>
      <c r="C970" t="s">
        <v>1681</v>
      </c>
    </row>
    <row r="971" spans="1:3" x14ac:dyDescent="0.25">
      <c r="A971">
        <v>512</v>
      </c>
      <c r="B971" t="s">
        <v>1042</v>
      </c>
      <c r="C971" t="s">
        <v>1682</v>
      </c>
    </row>
    <row r="972" spans="1:3" x14ac:dyDescent="0.25">
      <c r="A972">
        <v>868</v>
      </c>
      <c r="B972" t="s">
        <v>1043</v>
      </c>
      <c r="C972" t="s">
        <v>402</v>
      </c>
    </row>
    <row r="973" spans="1:3" x14ac:dyDescent="0.25">
      <c r="A973">
        <v>869</v>
      </c>
      <c r="B973" t="s">
        <v>1044</v>
      </c>
      <c r="C973" t="s">
        <v>1683</v>
      </c>
    </row>
    <row r="974" spans="1:3" x14ac:dyDescent="0.25">
      <c r="A974">
        <v>870</v>
      </c>
      <c r="B974" t="s">
        <v>1045</v>
      </c>
      <c r="C974" t="s">
        <v>403</v>
      </c>
    </row>
    <row r="975" spans="1:3" x14ac:dyDescent="0.25">
      <c r="A975">
        <v>871</v>
      </c>
      <c r="B975" t="s">
        <v>1046</v>
      </c>
      <c r="C975" t="s">
        <v>1684</v>
      </c>
    </row>
    <row r="976" spans="1:3" x14ac:dyDescent="0.25">
      <c r="A976">
        <v>872</v>
      </c>
      <c r="B976" t="s">
        <v>1047</v>
      </c>
      <c r="C976" t="s">
        <v>1685</v>
      </c>
    </row>
    <row r="977" spans="1:3" x14ac:dyDescent="0.25">
      <c r="A977">
        <v>873</v>
      </c>
      <c r="B977" t="s">
        <v>1048</v>
      </c>
      <c r="C977" t="s">
        <v>1686</v>
      </c>
    </row>
    <row r="978" spans="1:3" x14ac:dyDescent="0.25">
      <c r="A978">
        <v>874</v>
      </c>
      <c r="B978" t="s">
        <v>1049</v>
      </c>
      <c r="C978" t="s">
        <v>1687</v>
      </c>
    </row>
    <row r="979" spans="1:3" x14ac:dyDescent="0.25">
      <c r="A979">
        <v>875</v>
      </c>
      <c r="B979" t="s">
        <v>1050</v>
      </c>
      <c r="C979" t="s">
        <v>1688</v>
      </c>
    </row>
    <row r="980" spans="1:3" x14ac:dyDescent="0.25">
      <c r="A980">
        <v>876</v>
      </c>
      <c r="B980" t="s">
        <v>1051</v>
      </c>
      <c r="C980" t="s">
        <v>1689</v>
      </c>
    </row>
    <row r="981" spans="1:3" x14ac:dyDescent="0.25">
      <c r="A981">
        <v>877</v>
      </c>
      <c r="B981" t="s">
        <v>1052</v>
      </c>
      <c r="C981" t="s">
        <v>1718</v>
      </c>
    </row>
    <row r="982" spans="1:3" x14ac:dyDescent="0.25">
      <c r="A982">
        <v>878</v>
      </c>
      <c r="B982" t="s">
        <v>1053</v>
      </c>
      <c r="C982" t="s">
        <v>1719</v>
      </c>
    </row>
    <row r="983" spans="1:3" x14ac:dyDescent="0.25">
      <c r="A983">
        <v>879</v>
      </c>
      <c r="B983" t="s">
        <v>1054</v>
      </c>
      <c r="C983" t="s">
        <v>1720</v>
      </c>
    </row>
    <row r="984" spans="1:3" x14ac:dyDescent="0.25">
      <c r="A984">
        <v>880</v>
      </c>
      <c r="B984" t="s">
        <v>1055</v>
      </c>
      <c r="C984" t="s">
        <v>1693</v>
      </c>
    </row>
    <row r="985" spans="1:3" x14ac:dyDescent="0.25">
      <c r="A985">
        <v>966</v>
      </c>
      <c r="B985" t="s">
        <v>1056</v>
      </c>
      <c r="C985" t="s">
        <v>1694</v>
      </c>
    </row>
    <row r="986" spans="1:3" x14ac:dyDescent="0.25">
      <c r="A986">
        <v>307</v>
      </c>
      <c r="B986" t="s">
        <v>408</v>
      </c>
      <c r="C986" t="s">
        <v>148</v>
      </c>
    </row>
    <row r="987" spans="1:3" x14ac:dyDescent="0.25">
      <c r="A987">
        <v>308</v>
      </c>
      <c r="B987" t="s">
        <v>1057</v>
      </c>
      <c r="C987" t="s">
        <v>1511</v>
      </c>
    </row>
    <row r="988" spans="1:3" x14ac:dyDescent="0.25">
      <c r="A988">
        <v>881</v>
      </c>
      <c r="B988" t="s">
        <v>1058</v>
      </c>
      <c r="C988" t="s">
        <v>1724</v>
      </c>
    </row>
    <row r="989" spans="1:3" x14ac:dyDescent="0.25">
      <c r="A989">
        <v>883</v>
      </c>
      <c r="B989" t="s">
        <v>1060</v>
      </c>
      <c r="C989" t="s">
        <v>1725</v>
      </c>
    </row>
    <row r="990" spans="1:3" x14ac:dyDescent="0.25">
      <c r="A990">
        <v>884</v>
      </c>
      <c r="B990" t="s">
        <v>1061</v>
      </c>
      <c r="C990" t="s">
        <v>1726</v>
      </c>
    </row>
    <row r="991" spans="1:3" x14ac:dyDescent="0.25">
      <c r="A991">
        <v>885</v>
      </c>
      <c r="B991" t="s">
        <v>409</v>
      </c>
      <c r="C991" t="s">
        <v>410</v>
      </c>
    </row>
    <row r="992" spans="1:3" x14ac:dyDescent="0.25">
      <c r="A992">
        <v>886</v>
      </c>
      <c r="B992" t="s">
        <v>1062</v>
      </c>
      <c r="C992" t="s">
        <v>1697</v>
      </c>
    </row>
    <row r="993" spans="1:3" x14ac:dyDescent="0.25">
      <c r="A993">
        <v>887</v>
      </c>
      <c r="B993" t="s">
        <v>1063</v>
      </c>
      <c r="C993" t="s">
        <v>405</v>
      </c>
    </row>
    <row r="994" spans="1:3" x14ac:dyDescent="0.25">
      <c r="A994">
        <v>888</v>
      </c>
      <c r="B994" t="s">
        <v>411</v>
      </c>
      <c r="C994" t="s">
        <v>412</v>
      </c>
    </row>
    <row r="995" spans="1:3" x14ac:dyDescent="0.25">
      <c r="A995">
        <v>891</v>
      </c>
      <c r="B995" t="s">
        <v>1066</v>
      </c>
      <c r="C995" t="s">
        <v>1729</v>
      </c>
    </row>
    <row r="996" spans="1:3" x14ac:dyDescent="0.25">
      <c r="A996">
        <v>892</v>
      </c>
      <c r="B996" t="s">
        <v>413</v>
      </c>
      <c r="C996" t="s">
        <v>414</v>
      </c>
    </row>
    <row r="997" spans="1:3" x14ac:dyDescent="0.25">
      <c r="A997">
        <v>893</v>
      </c>
      <c r="B997" t="s">
        <v>1067</v>
      </c>
      <c r="C997" t="s">
        <v>1730</v>
      </c>
    </row>
    <row r="998" spans="1:3" x14ac:dyDescent="0.25">
      <c r="A998">
        <v>894</v>
      </c>
      <c r="B998" t="s">
        <v>1068</v>
      </c>
      <c r="C998" t="s">
        <v>1731</v>
      </c>
    </row>
    <row r="999" spans="1:3" x14ac:dyDescent="0.25">
      <c r="A999">
        <v>895</v>
      </c>
      <c r="B999" t="s">
        <v>415</v>
      </c>
      <c r="C999" t="s">
        <v>416</v>
      </c>
    </row>
    <row r="1000" spans="1:3" x14ac:dyDescent="0.25">
      <c r="A1000">
        <v>896</v>
      </c>
      <c r="B1000" t="s">
        <v>1069</v>
      </c>
      <c r="C1000" t="s">
        <v>149</v>
      </c>
    </row>
    <row r="1001" spans="1:3" x14ac:dyDescent="0.25">
      <c r="A1001">
        <v>897</v>
      </c>
      <c r="B1001" t="s">
        <v>1070</v>
      </c>
      <c r="C1001" t="s">
        <v>1732</v>
      </c>
    </row>
    <row r="1002" spans="1:3" x14ac:dyDescent="0.25">
      <c r="A1002">
        <v>899</v>
      </c>
      <c r="B1002" t="s">
        <v>1072</v>
      </c>
      <c r="C1002" t="s">
        <v>150</v>
      </c>
    </row>
    <row r="1003" spans="1:3" x14ac:dyDescent="0.25">
      <c r="A1003">
        <v>900</v>
      </c>
      <c r="B1003" t="s">
        <v>1073</v>
      </c>
      <c r="C1003" t="s">
        <v>1734</v>
      </c>
    </row>
    <row r="1004" spans="1:3" x14ac:dyDescent="0.25">
      <c r="A1004">
        <v>901</v>
      </c>
      <c r="B1004" t="s">
        <v>1074</v>
      </c>
      <c r="C1004" t="s">
        <v>1735</v>
      </c>
    </row>
    <row r="1005" spans="1:3" x14ac:dyDescent="0.25">
      <c r="A1005">
        <v>902</v>
      </c>
      <c r="B1005" t="s">
        <v>1075</v>
      </c>
      <c r="C1005" t="s">
        <v>1736</v>
      </c>
    </row>
    <row r="1006" spans="1:3" x14ac:dyDescent="0.25">
      <c r="A1006">
        <v>903</v>
      </c>
      <c r="B1006" t="s">
        <v>1076</v>
      </c>
      <c r="C1006" t="s">
        <v>151</v>
      </c>
    </row>
    <row r="1007" spans="1:3" x14ac:dyDescent="0.25">
      <c r="A1007">
        <v>904</v>
      </c>
      <c r="B1007" t="s">
        <v>417</v>
      </c>
      <c r="C1007" t="s">
        <v>418</v>
      </c>
    </row>
    <row r="1008" spans="1:3" x14ac:dyDescent="0.25">
      <c r="A1008">
        <v>906</v>
      </c>
      <c r="B1008" t="s">
        <v>1077</v>
      </c>
      <c r="C1008" t="s">
        <v>152</v>
      </c>
    </row>
    <row r="1009" spans="1:3" x14ac:dyDescent="0.25">
      <c r="A1009">
        <v>907</v>
      </c>
      <c r="B1009" t="s">
        <v>1078</v>
      </c>
      <c r="C1009" t="s">
        <v>153</v>
      </c>
    </row>
    <row r="1010" spans="1:3" x14ac:dyDescent="0.25">
      <c r="A1010">
        <v>908</v>
      </c>
      <c r="B1010" t="s">
        <v>1079</v>
      </c>
      <c r="C1010" t="s">
        <v>154</v>
      </c>
    </row>
    <row r="1011" spans="1:3" x14ac:dyDescent="0.25">
      <c r="A1011">
        <v>910</v>
      </c>
      <c r="B1011" t="s">
        <v>420</v>
      </c>
      <c r="C1011" t="s">
        <v>156</v>
      </c>
    </row>
    <row r="1012" spans="1:3" x14ac:dyDescent="0.25">
      <c r="A1012">
        <v>911</v>
      </c>
      <c r="B1012" t="s">
        <v>421</v>
      </c>
      <c r="C1012" t="s">
        <v>157</v>
      </c>
    </row>
    <row r="1013" spans="1:3" x14ac:dyDescent="0.25">
      <c r="A1013">
        <v>912</v>
      </c>
      <c r="B1013" t="s">
        <v>1081</v>
      </c>
      <c r="C1013" t="s">
        <v>158</v>
      </c>
    </row>
    <row r="1014" spans="1:3" x14ac:dyDescent="0.25">
      <c r="A1014">
        <v>914</v>
      </c>
      <c r="B1014" t="s">
        <v>1082</v>
      </c>
      <c r="C1014" t="s">
        <v>159</v>
      </c>
    </row>
    <row r="1015" spans="1:3" x14ac:dyDescent="0.25">
      <c r="A1015">
        <v>915</v>
      </c>
      <c r="B1015" t="s">
        <v>1083</v>
      </c>
      <c r="C1015" t="s">
        <v>160</v>
      </c>
    </row>
    <row r="1016" spans="1:3" x14ac:dyDescent="0.25">
      <c r="A1016">
        <v>916</v>
      </c>
      <c r="B1016" t="s">
        <v>1084</v>
      </c>
      <c r="C1016" t="s">
        <v>1737</v>
      </c>
    </row>
    <row r="1017" spans="1:3" x14ac:dyDescent="0.25">
      <c r="A1017">
        <v>976</v>
      </c>
      <c r="B1017" t="s">
        <v>1085</v>
      </c>
      <c r="C1017" t="s">
        <v>459</v>
      </c>
    </row>
    <row r="1018" spans="1:3" x14ac:dyDescent="0.25">
      <c r="A1018">
        <v>1052</v>
      </c>
      <c r="B1018" t="s">
        <v>424</v>
      </c>
      <c r="C1018" t="s">
        <v>425</v>
      </c>
    </row>
    <row r="1019" spans="1:3" x14ac:dyDescent="0.25">
      <c r="A1019">
        <v>1053</v>
      </c>
      <c r="B1019" t="s">
        <v>1088</v>
      </c>
      <c r="C1019" t="s">
        <v>1739</v>
      </c>
    </row>
    <row r="1020" spans="1:3" x14ac:dyDescent="0.25">
      <c r="A1020">
        <v>1054</v>
      </c>
      <c r="B1020" t="s">
        <v>426</v>
      </c>
      <c r="C1020" t="s">
        <v>427</v>
      </c>
    </row>
    <row r="1021" spans="1:3" x14ac:dyDescent="0.25">
      <c r="A1021">
        <v>1615</v>
      </c>
      <c r="B1021" t="s">
        <v>426</v>
      </c>
      <c r="C1021" t="s">
        <v>1740</v>
      </c>
    </row>
    <row r="1022" spans="1:3" x14ac:dyDescent="0.25">
      <c r="A1022">
        <v>309</v>
      </c>
      <c r="B1022" t="s">
        <v>428</v>
      </c>
      <c r="C1022" t="s">
        <v>429</v>
      </c>
    </row>
    <row r="1023" spans="1:3" x14ac:dyDescent="0.25">
      <c r="A1023">
        <v>310</v>
      </c>
      <c r="B1023" t="s">
        <v>431</v>
      </c>
      <c r="C1023" t="s">
        <v>430</v>
      </c>
    </row>
    <row r="1024" spans="1:3" x14ac:dyDescent="0.25">
      <c r="A1024">
        <v>917</v>
      </c>
      <c r="B1024" t="s">
        <v>432</v>
      </c>
      <c r="C1024" t="s">
        <v>442</v>
      </c>
    </row>
    <row r="1025" spans="1:3" x14ac:dyDescent="0.25">
      <c r="A1025">
        <v>918</v>
      </c>
      <c r="B1025" t="s">
        <v>433</v>
      </c>
      <c r="C1025" t="s">
        <v>1708</v>
      </c>
    </row>
    <row r="1026" spans="1:3" x14ac:dyDescent="0.25">
      <c r="A1026">
        <v>919</v>
      </c>
      <c r="B1026" t="s">
        <v>1089</v>
      </c>
      <c r="C1026" t="s">
        <v>434</v>
      </c>
    </row>
    <row r="1027" spans="1:3" x14ac:dyDescent="0.25">
      <c r="A1027">
        <v>920</v>
      </c>
      <c r="B1027" t="s">
        <v>435</v>
      </c>
      <c r="C1027" t="s">
        <v>1741</v>
      </c>
    </row>
    <row r="1028" spans="1:3" x14ac:dyDescent="0.25">
      <c r="A1028">
        <v>921</v>
      </c>
      <c r="B1028" t="s">
        <v>437</v>
      </c>
      <c r="C1028" t="s">
        <v>443</v>
      </c>
    </row>
    <row r="1029" spans="1:3" x14ac:dyDescent="0.25">
      <c r="A1029">
        <v>922</v>
      </c>
      <c r="B1029" t="s">
        <v>439</v>
      </c>
      <c r="C1029" t="s">
        <v>436</v>
      </c>
    </row>
    <row r="1030" spans="1:3" x14ac:dyDescent="0.25">
      <c r="A1030">
        <v>923</v>
      </c>
      <c r="B1030" t="s">
        <v>1090</v>
      </c>
      <c r="C1030" t="s">
        <v>438</v>
      </c>
    </row>
    <row r="1031" spans="1:3" x14ac:dyDescent="0.25">
      <c r="A1031">
        <v>924</v>
      </c>
      <c r="B1031" t="s">
        <v>1091</v>
      </c>
      <c r="C1031" t="s">
        <v>440</v>
      </c>
    </row>
    <row r="1032" spans="1:3" x14ac:dyDescent="0.25">
      <c r="A1032">
        <v>1064</v>
      </c>
      <c r="B1032" t="s">
        <v>441</v>
      </c>
      <c r="C1032" t="s">
        <v>1742</v>
      </c>
    </row>
    <row r="1033" spans="1:3" x14ac:dyDescent="0.25">
      <c r="A1033">
        <v>1065</v>
      </c>
      <c r="B1033" t="s">
        <v>441</v>
      </c>
      <c r="C1033" t="s">
        <v>444</v>
      </c>
    </row>
    <row r="1034" spans="1:3" x14ac:dyDescent="0.25">
      <c r="A1034">
        <v>311</v>
      </c>
      <c r="B1034" t="s">
        <v>445</v>
      </c>
      <c r="C1034" t="s">
        <v>461</v>
      </c>
    </row>
    <row r="1035" spans="1:3" x14ac:dyDescent="0.25">
      <c r="A1035">
        <v>313</v>
      </c>
      <c r="B1035" t="s">
        <v>447</v>
      </c>
      <c r="C1035" t="s">
        <v>1743</v>
      </c>
    </row>
    <row r="1036" spans="1:3" x14ac:dyDescent="0.25">
      <c r="A1036">
        <v>927</v>
      </c>
      <c r="B1036" t="s">
        <v>451</v>
      </c>
      <c r="C1036" t="s">
        <v>465</v>
      </c>
    </row>
    <row r="1037" spans="1:3" x14ac:dyDescent="0.25">
      <c r="A1037">
        <v>928</v>
      </c>
      <c r="B1037" t="s">
        <v>1092</v>
      </c>
      <c r="C1037" t="s">
        <v>466</v>
      </c>
    </row>
    <row r="1038" spans="1:3" x14ac:dyDescent="0.25">
      <c r="A1038">
        <v>929</v>
      </c>
      <c r="B1038" t="s">
        <v>452</v>
      </c>
      <c r="C1038" t="s">
        <v>1745</v>
      </c>
    </row>
    <row r="1039" spans="1:3" x14ac:dyDescent="0.25">
      <c r="A1039">
        <v>930</v>
      </c>
      <c r="B1039" t="s">
        <v>453</v>
      </c>
      <c r="C1039" t="s">
        <v>1746</v>
      </c>
    </row>
    <row r="1040" spans="1:3" x14ac:dyDescent="0.25">
      <c r="A1040">
        <v>931</v>
      </c>
      <c r="B1040" t="s">
        <v>1093</v>
      </c>
      <c r="C1040" t="s">
        <v>467</v>
      </c>
    </row>
    <row r="1041" spans="1:3" x14ac:dyDescent="0.25">
      <c r="A1041">
        <v>932</v>
      </c>
      <c r="B1041" t="s">
        <v>1094</v>
      </c>
      <c r="C1041" t="s">
        <v>1747</v>
      </c>
    </row>
    <row r="1042" spans="1:3" x14ac:dyDescent="0.25">
      <c r="A1042">
        <v>935</v>
      </c>
      <c r="B1042" t="s">
        <v>1097</v>
      </c>
      <c r="C1042" t="s">
        <v>1149</v>
      </c>
    </row>
    <row r="1043" spans="1:3" x14ac:dyDescent="0.25">
      <c r="A1043">
        <v>936</v>
      </c>
      <c r="B1043" t="s">
        <v>455</v>
      </c>
      <c r="C1043" t="s">
        <v>469</v>
      </c>
    </row>
    <row r="1044" spans="1:3" x14ac:dyDescent="0.25">
      <c r="A1044">
        <v>937</v>
      </c>
      <c r="B1044" t="s">
        <v>1098</v>
      </c>
      <c r="C1044" t="s">
        <v>1748</v>
      </c>
    </row>
    <row r="1045" spans="1:3" x14ac:dyDescent="0.25">
      <c r="A1045">
        <v>939</v>
      </c>
      <c r="B1045" t="s">
        <v>457</v>
      </c>
      <c r="C1045" t="s">
        <v>470</v>
      </c>
    </row>
    <row r="1046" spans="1:3" x14ac:dyDescent="0.25">
      <c r="A1046">
        <v>979</v>
      </c>
      <c r="B1046" t="s">
        <v>458</v>
      </c>
      <c r="C1046" t="s">
        <v>471</v>
      </c>
    </row>
    <row r="1047" spans="1:3" x14ac:dyDescent="0.25">
      <c r="A1047">
        <v>314</v>
      </c>
      <c r="B1047" t="s">
        <v>460</v>
      </c>
      <c r="C1047" t="s">
        <v>473</v>
      </c>
    </row>
    <row r="1048" spans="1:3" x14ac:dyDescent="0.25">
      <c r="A1048">
        <v>940</v>
      </c>
      <c r="B1048" t="s">
        <v>1099</v>
      </c>
      <c r="C1048" t="s">
        <v>1749</v>
      </c>
    </row>
    <row r="1049" spans="1:3" x14ac:dyDescent="0.25">
      <c r="A1049">
        <v>316</v>
      </c>
      <c r="B1049" t="s">
        <v>1100</v>
      </c>
      <c r="C1049" t="s">
        <v>475</v>
      </c>
    </row>
    <row r="1050" spans="1:3" x14ac:dyDescent="0.25">
      <c r="A1050">
        <v>317</v>
      </c>
      <c r="B1050" t="s">
        <v>1101</v>
      </c>
      <c r="C1050" t="s">
        <v>1750</v>
      </c>
    </row>
    <row r="1051" spans="1:3" x14ac:dyDescent="0.25">
      <c r="A1051">
        <v>315</v>
      </c>
      <c r="B1051" t="s">
        <v>464</v>
      </c>
      <c r="C1051" t="s">
        <v>1752</v>
      </c>
    </row>
    <row r="1052" spans="1:3" x14ac:dyDescent="0.25">
      <c r="A1052">
        <v>319</v>
      </c>
      <c r="B1052" t="s">
        <v>472</v>
      </c>
      <c r="C1052" t="s">
        <v>477</v>
      </c>
    </row>
    <row r="1053" spans="1:3" x14ac:dyDescent="0.25">
      <c r="A1053">
        <v>320</v>
      </c>
      <c r="B1053" t="s">
        <v>1102</v>
      </c>
      <c r="C1053" t="s">
        <v>1753</v>
      </c>
    </row>
    <row r="1054" spans="1:3" x14ac:dyDescent="0.25">
      <c r="A1054">
        <v>321</v>
      </c>
      <c r="B1054" t="s">
        <v>474</v>
      </c>
      <c r="C1054" t="s">
        <v>1754</v>
      </c>
    </row>
    <row r="1055" spans="1:3" x14ac:dyDescent="0.25">
      <c r="A1055">
        <v>322</v>
      </c>
      <c r="B1055" t="s">
        <v>1103</v>
      </c>
      <c r="C1055" t="s">
        <v>1755</v>
      </c>
    </row>
    <row r="1056" spans="1:3" x14ac:dyDescent="0.25">
      <c r="A1056">
        <v>323</v>
      </c>
      <c r="B1056" t="s">
        <v>1104</v>
      </c>
      <c r="C1056" t="s">
        <v>1756</v>
      </c>
    </row>
    <row r="1057" spans="1:3" x14ac:dyDescent="0.25">
      <c r="A1057">
        <v>324</v>
      </c>
      <c r="B1057" t="s">
        <v>1105</v>
      </c>
      <c r="C1057" t="s">
        <v>1757</v>
      </c>
    </row>
    <row r="1058" spans="1:3" x14ac:dyDescent="0.25">
      <c r="A1058">
        <v>325</v>
      </c>
      <c r="B1058" t="s">
        <v>1106</v>
      </c>
      <c r="C1058" t="s">
        <v>161</v>
      </c>
    </row>
    <row r="1059" spans="1:3" x14ac:dyDescent="0.25">
      <c r="A1059">
        <v>326</v>
      </c>
      <c r="B1059" t="s">
        <v>1107</v>
      </c>
      <c r="C1059" t="s">
        <v>1758</v>
      </c>
    </row>
    <row r="1060" spans="1:3" x14ac:dyDescent="0.25">
      <c r="A1060">
        <v>941</v>
      </c>
      <c r="B1060" t="s">
        <v>1108</v>
      </c>
      <c r="C1060" t="s">
        <v>1759</v>
      </c>
    </row>
    <row r="1061" spans="1:3" x14ac:dyDescent="0.25">
      <c r="A1061">
        <v>1637</v>
      </c>
      <c r="B1061" t="s">
        <v>1110</v>
      </c>
      <c r="C1061" t="s">
        <v>1760</v>
      </c>
    </row>
    <row r="1062" spans="1:3" x14ac:dyDescent="0.25">
      <c r="A1062">
        <v>327</v>
      </c>
      <c r="B1062" t="s">
        <v>476</v>
      </c>
      <c r="C1062" t="s">
        <v>1761</v>
      </c>
    </row>
    <row r="1063" spans="1:3" x14ac:dyDescent="0.25">
      <c r="A1063">
        <v>328</v>
      </c>
      <c r="B1063" t="s">
        <v>1111</v>
      </c>
      <c r="C1063" t="s">
        <v>1762</v>
      </c>
    </row>
    <row r="1064" spans="1:3" x14ac:dyDescent="0.25">
      <c r="A1064">
        <v>943</v>
      </c>
      <c r="B1064" t="s">
        <v>1112</v>
      </c>
      <c r="C1064" t="s">
        <v>1763</v>
      </c>
    </row>
    <row r="1065" spans="1:3" x14ac:dyDescent="0.25">
      <c r="A1065">
        <v>944</v>
      </c>
      <c r="B1065" t="s">
        <v>1113</v>
      </c>
      <c r="C1065" t="s">
        <v>1764</v>
      </c>
    </row>
    <row r="1066" spans="1:3" x14ac:dyDescent="0.25">
      <c r="A1066">
        <v>980</v>
      </c>
      <c r="B1066" t="s">
        <v>1114</v>
      </c>
      <c r="C1066" t="s">
        <v>1765</v>
      </c>
    </row>
    <row r="1067" spans="1:3" x14ac:dyDescent="0.25">
      <c r="A1067">
        <v>946</v>
      </c>
      <c r="B1067" t="s">
        <v>1116</v>
      </c>
      <c r="C1067" t="s">
        <v>1767</v>
      </c>
    </row>
    <row r="1068" spans="1:3" x14ac:dyDescent="0.25">
      <c r="A1068">
        <v>947</v>
      </c>
      <c r="B1068" t="s">
        <v>1117</v>
      </c>
      <c r="C1068" t="s">
        <v>1768</v>
      </c>
    </row>
    <row r="1069" spans="1:3" x14ac:dyDescent="0.25">
      <c r="A1069">
        <v>1</v>
      </c>
      <c r="B1069">
        <v>1</v>
      </c>
      <c r="C1069" t="s">
        <v>50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BANCO</vt:lpstr>
      <vt:lpstr>Base</vt:lpstr>
      <vt:lpstr>Importa</vt:lpstr>
      <vt:lpstr>PLANO</vt:lpstr>
      <vt:lpstr>HISTORICO</vt:lpstr>
      <vt:lpstr>params</vt:lpstr>
      <vt:lpstr>COLE AQUI</vt:lpstr>
      <vt:lpstr>Pesquisa</vt:lpstr>
      <vt:lpstr>PLANO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Triangulo</dc:creator>
  <cp:lastModifiedBy>Cleber Marrara Prado</cp:lastModifiedBy>
  <cp:lastPrinted>2017-04-12T17:43:02Z</cp:lastPrinted>
  <dcterms:created xsi:type="dcterms:W3CDTF">2016-05-17T18:32:46Z</dcterms:created>
  <dcterms:modified xsi:type="dcterms:W3CDTF">2018-04-24T16:57:49Z</dcterms:modified>
</cp:coreProperties>
</file>